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2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3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ger\Downloads\Projeto FM2s\"/>
    </mc:Choice>
  </mc:AlternateContent>
  <xr:revisionPtr revIDLastSave="0" documentId="13_ncr:1_{32658DE3-03F6-4EDE-99E7-7A7CEB419FC7}" xr6:coauthVersionLast="47" xr6:coauthVersionMax="47" xr10:uidLastSave="{00000000-0000-0000-0000-000000000000}"/>
  <bookViews>
    <workbookView xWindow="-19310" yWindow="-110" windowWidth="19420" windowHeight="10300" tabRatio="735" activeTab="2" xr2:uid="{ABF9318B-E475-49AD-ABEB-84897C999592}"/>
  </bookViews>
  <sheets>
    <sheet name="Analise exploratória " sheetId="2" r:id="rId1"/>
    <sheet name="Analise correlacionada" sheetId="4" r:id="rId2"/>
    <sheet name="HrEstudadaXNotaProva" sheetId="18" r:id="rId3"/>
    <sheet name="student_exam_scores" sheetId="1" r:id="rId4"/>
    <sheet name="Inf" sheetId="3" r:id="rId5"/>
  </sheets>
  <externalReferences>
    <externalReference r:id="rId6"/>
  </externalReferences>
  <definedNames>
    <definedName name="_xlnm._FilterDatabase" localSheetId="3" hidden="1">student_exam_scores!$A$1:$F$201</definedName>
    <definedName name="_xlchart.v1.0" hidden="1">student_exam_scores!$D$1</definedName>
    <definedName name="_xlchart.v1.1" hidden="1">student_exam_scores!$D$2:$D$201</definedName>
    <definedName name="_xlchart.v1.10" hidden="1">student_exam_scores!$D$1</definedName>
    <definedName name="_xlchart.v1.11" hidden="1">student_exam_scores!$D$2:$D$201</definedName>
    <definedName name="_xlchart.v1.2" hidden="1">student_exam_scores!$B$1</definedName>
    <definedName name="_xlchart.v1.3" hidden="1">student_exam_scores!$B$2:$B$201</definedName>
    <definedName name="_xlchart.v1.4" hidden="1">student_exam_scores!$C$1</definedName>
    <definedName name="_xlchart.v1.5" hidden="1">student_exam_scores!$C$2:$C$201</definedName>
    <definedName name="_xlchart.v1.6" hidden="1">student_exam_scores!$B$1</definedName>
    <definedName name="_xlchart.v1.7" hidden="1">student_exam_scores!$B$2:$B$201</definedName>
    <definedName name="_xlchart.v1.8" hidden="1">student_exam_scores!$C$1</definedName>
    <definedName name="_xlchart.v1.9" hidden="1">student_exam_scores!$C$2:$C$201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8" i="18" l="1" a="1"/>
  <c r="A18" i="18" s="1"/>
  <c r="C14" i="18"/>
  <c r="B14" i="18"/>
  <c r="B13" i="18" s="1"/>
  <c r="B12" i="18"/>
  <c r="B8" i="18"/>
  <c r="B17" i="18" a="1"/>
  <c r="B17" i="18" l="1"/>
  <c r="C17" i="18"/>
  <c r="C18" i="18"/>
  <c r="B18" i="18"/>
  <c r="D18" i="18" l="1"/>
  <c r="E18" i="18" s="1"/>
  <c r="F18" i="18"/>
  <c r="G18" i="18"/>
  <c r="F17" i="18"/>
  <c r="D17" i="18"/>
  <c r="E17" i="18" s="1"/>
  <c r="G17" i="18"/>
  <c r="C12" i="18"/>
  <c r="C13" i="18" l="1"/>
  <c r="B5" i="18"/>
  <c r="D12" i="18"/>
  <c r="B6" i="18" l="1"/>
  <c r="B4" i="18"/>
  <c r="E4" i="18"/>
  <c r="E5" i="18" s="1"/>
  <c r="D13" i="18"/>
  <c r="B7" i="18" s="1"/>
  <c r="E6" i="18"/>
  <c r="E12" i="18" l="1"/>
  <c r="F12" i="18" s="1"/>
  <c r="G12" i="18" s="1"/>
</calcChain>
</file>

<file path=xl/sharedStrings.xml><?xml version="1.0" encoding="utf-8"?>
<sst xmlns="http://schemas.openxmlformats.org/spreadsheetml/2006/main" count="689" uniqueCount="271">
  <si>
    <t>student_id</t>
  </si>
  <si>
    <t>hours_studied</t>
  </si>
  <si>
    <t>sleep_hours</t>
  </si>
  <si>
    <t>attendance_percent</t>
  </si>
  <si>
    <t>previous_scores</t>
  </si>
  <si>
    <t>exam_score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</si>
  <si>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</si>
  <si>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</si>
  <si>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</si>
  <si>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</si>
  <si>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</si>
  <si>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</si>
  <si>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</si>
  <si>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</si>
  <si>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</si>
  <si>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</si>
  <si>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</si>
  <si>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</si>
  <si>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</si>
  <si>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</si>
  <si>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</si>
  <si>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</si>
  <si>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</si>
  <si>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</si>
  <si>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</si>
  <si>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</si>
  <si>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</si>
  <si>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</si>
  <si>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</si>
  <si>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</si>
  <si>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</si>
  <si>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</si>
  <si>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</si>
  <si>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</si>
  <si>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</si>
  <si>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</si>
  <si>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</si>
  <si>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</si>
  <si>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</si>
  <si>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</si>
  <si>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</si>
  <si>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</si>
  <si>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</si>
  <si>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</si>
  <si>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</si>
  <si>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</si>
  <si>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</si>
  <si>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</si>
  <si>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</si>
  <si>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</si>
  <si>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</si>
  <si>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</si>
  <si>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</si>
  <si>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</si>
  <si>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</si>
  <si>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</si>
  <si>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</si>
  <si>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</si>
  <si>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</si>
  <si>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</si>
  <si>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</si>
  <si>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</si>
  <si>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</si>
  <si>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</si>
  <si>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</si>
  <si>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</si>
  <si>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</si>
  <si>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</si>
  <si>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</si>
  <si>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</si>
  <si>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</si>
  <si>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</si>
  <si>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</si>
  <si>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</si>
  <si>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</si>
  <si>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</si>
  <si>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</si>
  <si>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</si>
  <si>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</si>
  <si>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</si>
  <si>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</si>
  <si>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</si>
  <si>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</si>
  <si>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</si>
  <si>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</si>
  <si>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</si>
  <si>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</si>
  <si>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</si>
  <si>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</si>
  <si>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</si>
  <si>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</si>
  <si>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</si>
  <si>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</si>
  <si>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</si>
  <si>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</si>
  <si>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</si>
  <si>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</si>
  <si>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</si>
  <si>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</si>
  <si>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</si>
  <si>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</si>
  <si>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</si>
  <si>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</si>
  <si>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</si>
  <si>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</si>
  <si>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</si>
  <si>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</si>
  <si>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</si>
  <si>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</si>
  <si>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</si>
  <si>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</si>
  <si>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</si>
  <si>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</si>
  <si>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</si>
  <si>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</si>
  <si>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</si>
  <si>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</si>
  <si>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</si>
  <si>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</si>
  <si>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</si>
  <si>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</si>
  <si>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</si>
  <si>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</si>
  <si>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</si>
  <si>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</si>
  <si>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</si>
  <si>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</si>
  <si>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</si>
  <si>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</si>
  <si>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</si>
  <si>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</si>
  <si>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</si>
  <si>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</si>
  <si>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</si>
  <si>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</si>
  <si>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</si>
  <si>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</si>
  <si>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</si>
  <si>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</si>
  <si>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</si>
  <si>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</si>
  <si>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</si>
  <si>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</si>
  <si>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</si>
  <si>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</si>
  <si>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</si>
  <si>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</si>
  <si>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</si>
  <si>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</si>
  <si>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</si>
  <si>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</si>
  <si>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</si>
  <si>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</si>
  <si>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</si>
  <si>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</si>
  <si>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</si>
  <si>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</si>
  <si>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</si>
  <si>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</si>
  <si>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</si>
  <si>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</si>
  <si>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</si>
  <si>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</si>
  <si>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</si>
  <si>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</si>
  <si>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</si>
  <si>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</si>
  <si>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</si>
  <si>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</si>
  <si>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</si>
  <si>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</si>
  <si>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</si>
  <si>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</si>
  <si>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</si>
  <si>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</si>
  <si>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</si>
  <si>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</si>
  <si>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</si>
  <si>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</si>
  <si>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</si>
  <si>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</si>
  <si>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</si>
  <si>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</si>
  <si>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</si>
  <si>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</si>
  <si>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</si>
  <si>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</si>
  <si>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</si>
  <si>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</si>
  <si>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</si>
  <si>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</si>
  <si>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</si>
  <si>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</si>
  <si>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</si>
  <si>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</si>
  <si>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</si>
  <si>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</si>
  <si>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</si>
  <si>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</si>
  <si>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</si>
  <si>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</si>
  <si>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</si>
  <si>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</si>
  <si>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</si>
  <si>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</si>
  <si>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</si>
  <si>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Total Geral</t>
  </si>
  <si>
    <t>Contagem de hours_studied</t>
  </si>
  <si>
    <t>Contagem de sleep_hours</t>
  </si>
  <si>
    <t>1. Os dados dos estudantes não estão repetidos</t>
  </si>
  <si>
    <t>Insights</t>
  </si>
  <si>
    <t>2. Temos duzentos alunos, são de que periodo ?</t>
  </si>
  <si>
    <t>ID do Estudante</t>
  </si>
  <si>
    <t>Contagem do estudantes</t>
  </si>
  <si>
    <t>Descrição</t>
  </si>
  <si>
    <t>Nota</t>
  </si>
  <si>
    <t>Identificador exclusivo</t>
  </si>
  <si>
    <t>Tempo de sono Diario (Em Horas)</t>
  </si>
  <si>
    <t>Porcentagem de alunos em todas as aulas frequentadas.</t>
  </si>
  <si>
    <t xml:space="preserve">Pontuação do aluno em testes mais recentes </t>
  </si>
  <si>
    <t>Nota final do exame do aluno ( Variável Alvo)</t>
  </si>
  <si>
    <t>Hours Studied</t>
  </si>
  <si>
    <t>1. Os dados não possui outliers.</t>
  </si>
  <si>
    <t>2. O tempo medio e a mediana se encontram proximas.</t>
  </si>
  <si>
    <t>3. Vimos que a concentração está maior entre 3 a 5 horas estudadas.</t>
  </si>
  <si>
    <t>Sleep Hours</t>
  </si>
  <si>
    <t>1. Os dados estão be distribuidos, etretanto duas horas estão predomintantes</t>
  </si>
  <si>
    <t>a de 5 a 6 horas e de 8 a 9 horas.</t>
  </si>
  <si>
    <t>8-9</t>
  </si>
  <si>
    <t>5-6</t>
  </si>
  <si>
    <t>7-8</t>
  </si>
  <si>
    <t>6-7</t>
  </si>
  <si>
    <t>4-5</t>
  </si>
  <si>
    <t>3-4</t>
  </si>
  <si>
    <t>11-12</t>
  </si>
  <si>
    <t>10-11</t>
  </si>
  <si>
    <t>1-2</t>
  </si>
  <si>
    <t>2-3</t>
  </si>
  <si>
    <t>9-10</t>
  </si>
  <si>
    <t>2. Quase 50 % dos dados estão entre os dois grupos de horas dormidas (8-9 e 5-6)</t>
  </si>
  <si>
    <t>% Sleep Hours</t>
  </si>
  <si>
    <t>% Acum Sleep Hours</t>
  </si>
  <si>
    <t>Soma de exam_score</t>
  </si>
  <si>
    <t>lower</t>
  </si>
  <si>
    <t>upper</t>
  </si>
  <si>
    <t>Alpha</t>
  </si>
  <si>
    <t>std err</t>
  </si>
  <si>
    <t>Regression Analysis</t>
  </si>
  <si>
    <t>OVERALL FIT</t>
  </si>
  <si>
    <t>Multiple R</t>
  </si>
  <si>
    <t>R Square</t>
  </si>
  <si>
    <t>Adjusted R Square</t>
  </si>
  <si>
    <t>Standard Error</t>
  </si>
  <si>
    <t>Observations</t>
  </si>
  <si>
    <t>AIC</t>
  </si>
  <si>
    <t>AICc</t>
  </si>
  <si>
    <t>SBC</t>
  </si>
  <si>
    <t>ANOVA</t>
  </si>
  <si>
    <t>df</t>
  </si>
  <si>
    <t>SS</t>
  </si>
  <si>
    <t>MS</t>
  </si>
  <si>
    <t>F</t>
  </si>
  <si>
    <t>p-value</t>
  </si>
  <si>
    <t>sig</t>
  </si>
  <si>
    <t>Regression</t>
  </si>
  <si>
    <t>Residual</t>
  </si>
  <si>
    <t>Total</t>
  </si>
  <si>
    <t>coeff</t>
  </si>
  <si>
    <t>t stat</t>
  </si>
  <si>
    <t>Intercept</t>
  </si>
  <si>
    <t>Tempo de estudo ( Semanal)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</si>
</sst>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6" fillId="0" borderId="0" xfId="0" applyFont="1"/>
    <xf numFmtId="2" fontId="0" fillId="0" borderId="0" xfId="0" applyNumberFormat="1"/>
    <xf numFmtId="4" fontId="0" fillId="0" borderId="0" xfId="0" applyNumberFormat="1"/>
    <xf numFmtId="0" fontId="18" fillId="0" borderId="10" xfId="0" applyFont="1" applyBorder="1" applyAlignment="1">
      <alignment horizontal="center"/>
    </xf>
    <xf numFmtId="0" fontId="0" fillId="0" borderId="11" xfId="0" applyBorder="1"/>
    <xf numFmtId="0" fontId="0" fillId="0" borderId="0" xfId="0" applyAlignment="1">
      <alignment horizontal="center"/>
    </xf>
    <xf numFmtId="0" fontId="0" fillId="0" borderId="12" xfId="0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Prova Final X Horas estudadas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student_exam_scores!$F$1</c:f>
              <c:strCache>
                <c:ptCount val="1"/>
                <c:pt idx="0">
                  <c:v>exam_score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7567688907307639"/>
                  <c:y val="-0.1120589093030037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student_exam_scores!$B$2:$B$201</c:f>
              <c:numCache>
                <c:formatCode>0.00</c:formatCode>
                <c:ptCount val="200"/>
                <c:pt idx="0">
                  <c:v>8</c:v>
                </c:pt>
                <c:pt idx="1">
                  <c:v>1.3</c:v>
                </c:pt>
                <c:pt idx="2">
                  <c:v>4</c:v>
                </c:pt>
                <c:pt idx="3">
                  <c:v>3.5</c:v>
                </c:pt>
                <c:pt idx="4">
                  <c:v>9.1</c:v>
                </c:pt>
                <c:pt idx="5">
                  <c:v>8.4</c:v>
                </c:pt>
                <c:pt idx="6">
                  <c:v>10.8</c:v>
                </c:pt>
                <c:pt idx="7">
                  <c:v>2</c:v>
                </c:pt>
                <c:pt idx="8">
                  <c:v>5.6</c:v>
                </c:pt>
                <c:pt idx="9">
                  <c:v>1.3</c:v>
                </c:pt>
                <c:pt idx="10">
                  <c:v>3.4</c:v>
                </c:pt>
                <c:pt idx="11">
                  <c:v>6.6</c:v>
                </c:pt>
                <c:pt idx="12">
                  <c:v>1.3</c:v>
                </c:pt>
                <c:pt idx="13">
                  <c:v>3.2</c:v>
                </c:pt>
                <c:pt idx="14">
                  <c:v>8.1</c:v>
                </c:pt>
                <c:pt idx="15">
                  <c:v>7</c:v>
                </c:pt>
                <c:pt idx="16">
                  <c:v>3.4</c:v>
                </c:pt>
                <c:pt idx="17">
                  <c:v>7.5</c:v>
                </c:pt>
                <c:pt idx="18">
                  <c:v>9.9</c:v>
                </c:pt>
                <c:pt idx="19">
                  <c:v>1.1000000000000001</c:v>
                </c:pt>
                <c:pt idx="20">
                  <c:v>9.9</c:v>
                </c:pt>
                <c:pt idx="21">
                  <c:v>8.6999999999999993</c:v>
                </c:pt>
                <c:pt idx="22">
                  <c:v>4.7</c:v>
                </c:pt>
                <c:pt idx="23">
                  <c:v>2.7</c:v>
                </c:pt>
                <c:pt idx="24">
                  <c:v>11.5</c:v>
                </c:pt>
                <c:pt idx="25">
                  <c:v>4.7</c:v>
                </c:pt>
                <c:pt idx="26">
                  <c:v>2</c:v>
                </c:pt>
                <c:pt idx="27">
                  <c:v>2.1</c:v>
                </c:pt>
                <c:pt idx="28">
                  <c:v>10.3</c:v>
                </c:pt>
                <c:pt idx="29">
                  <c:v>7.6</c:v>
                </c:pt>
                <c:pt idx="30">
                  <c:v>9.9</c:v>
                </c:pt>
                <c:pt idx="31">
                  <c:v>9</c:v>
                </c:pt>
                <c:pt idx="32">
                  <c:v>6.9</c:v>
                </c:pt>
                <c:pt idx="33">
                  <c:v>11.7</c:v>
                </c:pt>
                <c:pt idx="34">
                  <c:v>5.2</c:v>
                </c:pt>
                <c:pt idx="35">
                  <c:v>7.1</c:v>
                </c:pt>
                <c:pt idx="36">
                  <c:v>10.1</c:v>
                </c:pt>
                <c:pt idx="37">
                  <c:v>7.8</c:v>
                </c:pt>
                <c:pt idx="38">
                  <c:v>10.5</c:v>
                </c:pt>
                <c:pt idx="39">
                  <c:v>7.4</c:v>
                </c:pt>
                <c:pt idx="40">
                  <c:v>8.8000000000000007</c:v>
                </c:pt>
                <c:pt idx="41">
                  <c:v>1.5</c:v>
                </c:pt>
                <c:pt idx="42">
                  <c:v>3.5</c:v>
                </c:pt>
                <c:pt idx="43">
                  <c:v>4.2</c:v>
                </c:pt>
                <c:pt idx="44">
                  <c:v>1.9</c:v>
                </c:pt>
                <c:pt idx="45">
                  <c:v>3.6</c:v>
                </c:pt>
                <c:pt idx="46">
                  <c:v>2.1</c:v>
                </c:pt>
                <c:pt idx="47">
                  <c:v>4.0999999999999996</c:v>
                </c:pt>
                <c:pt idx="48">
                  <c:v>8</c:v>
                </c:pt>
                <c:pt idx="49">
                  <c:v>5</c:v>
                </c:pt>
                <c:pt idx="50">
                  <c:v>5.0999999999999996</c:v>
                </c:pt>
                <c:pt idx="51">
                  <c:v>3.3</c:v>
                </c:pt>
                <c:pt idx="52">
                  <c:v>3.9</c:v>
                </c:pt>
                <c:pt idx="53">
                  <c:v>11.3</c:v>
                </c:pt>
                <c:pt idx="54">
                  <c:v>8.1</c:v>
                </c:pt>
                <c:pt idx="55">
                  <c:v>7.7</c:v>
                </c:pt>
                <c:pt idx="56">
                  <c:v>2.9</c:v>
                </c:pt>
                <c:pt idx="57">
                  <c:v>9</c:v>
                </c:pt>
                <c:pt idx="58">
                  <c:v>2.8</c:v>
                </c:pt>
                <c:pt idx="59">
                  <c:v>5.2</c:v>
                </c:pt>
                <c:pt idx="60">
                  <c:v>11.9</c:v>
                </c:pt>
                <c:pt idx="61">
                  <c:v>8</c:v>
                </c:pt>
                <c:pt idx="62">
                  <c:v>7.1</c:v>
                </c:pt>
                <c:pt idx="63">
                  <c:v>8.5</c:v>
                </c:pt>
                <c:pt idx="64">
                  <c:v>10.3</c:v>
                </c:pt>
                <c:pt idx="65">
                  <c:v>9.5</c:v>
                </c:pt>
                <c:pt idx="66">
                  <c:v>3.5</c:v>
                </c:pt>
                <c:pt idx="67">
                  <c:v>1.4</c:v>
                </c:pt>
                <c:pt idx="68">
                  <c:v>4.5</c:v>
                </c:pt>
                <c:pt idx="69">
                  <c:v>3.9</c:v>
                </c:pt>
                <c:pt idx="70">
                  <c:v>3.3</c:v>
                </c:pt>
                <c:pt idx="71">
                  <c:v>11.4</c:v>
                </c:pt>
                <c:pt idx="72">
                  <c:v>10.6</c:v>
                </c:pt>
                <c:pt idx="73">
                  <c:v>4.5</c:v>
                </c:pt>
                <c:pt idx="74">
                  <c:v>8.1999999999999993</c:v>
                </c:pt>
                <c:pt idx="75">
                  <c:v>5.4</c:v>
                </c:pt>
                <c:pt idx="76">
                  <c:v>11.1</c:v>
                </c:pt>
                <c:pt idx="77">
                  <c:v>6</c:v>
                </c:pt>
                <c:pt idx="78">
                  <c:v>3.9</c:v>
                </c:pt>
                <c:pt idx="79">
                  <c:v>3.7</c:v>
                </c:pt>
                <c:pt idx="80">
                  <c:v>7.2</c:v>
                </c:pt>
                <c:pt idx="81">
                  <c:v>3.9</c:v>
                </c:pt>
                <c:pt idx="82">
                  <c:v>7.4</c:v>
                </c:pt>
                <c:pt idx="83">
                  <c:v>10.9</c:v>
                </c:pt>
                <c:pt idx="84">
                  <c:v>5.4</c:v>
                </c:pt>
                <c:pt idx="85">
                  <c:v>3.4</c:v>
                </c:pt>
                <c:pt idx="86">
                  <c:v>12</c:v>
                </c:pt>
                <c:pt idx="87">
                  <c:v>6.6</c:v>
                </c:pt>
                <c:pt idx="88">
                  <c:v>2</c:v>
                </c:pt>
                <c:pt idx="89">
                  <c:v>1.5</c:v>
                </c:pt>
                <c:pt idx="90">
                  <c:v>2.2000000000000002</c:v>
                </c:pt>
                <c:pt idx="91">
                  <c:v>7.9</c:v>
                </c:pt>
                <c:pt idx="92">
                  <c:v>9.6999999999999993</c:v>
                </c:pt>
                <c:pt idx="93">
                  <c:v>5.6</c:v>
                </c:pt>
                <c:pt idx="94">
                  <c:v>1.7</c:v>
                </c:pt>
                <c:pt idx="95">
                  <c:v>5.2</c:v>
                </c:pt>
                <c:pt idx="96">
                  <c:v>12</c:v>
                </c:pt>
                <c:pt idx="97">
                  <c:v>6.8</c:v>
                </c:pt>
                <c:pt idx="98">
                  <c:v>11.7</c:v>
                </c:pt>
                <c:pt idx="99">
                  <c:v>10.5</c:v>
                </c:pt>
                <c:pt idx="100">
                  <c:v>1.1000000000000001</c:v>
                </c:pt>
                <c:pt idx="101">
                  <c:v>8.9</c:v>
                </c:pt>
                <c:pt idx="102">
                  <c:v>8.5</c:v>
                </c:pt>
                <c:pt idx="103">
                  <c:v>6.9</c:v>
                </c:pt>
                <c:pt idx="104">
                  <c:v>3.9</c:v>
                </c:pt>
                <c:pt idx="105">
                  <c:v>8.1</c:v>
                </c:pt>
                <c:pt idx="106">
                  <c:v>2.2000000000000002</c:v>
                </c:pt>
                <c:pt idx="107">
                  <c:v>5.8</c:v>
                </c:pt>
                <c:pt idx="108">
                  <c:v>6</c:v>
                </c:pt>
                <c:pt idx="109">
                  <c:v>11.5</c:v>
                </c:pt>
                <c:pt idx="110">
                  <c:v>10.6</c:v>
                </c:pt>
                <c:pt idx="111">
                  <c:v>3.9</c:v>
                </c:pt>
                <c:pt idx="112">
                  <c:v>6.5</c:v>
                </c:pt>
                <c:pt idx="113">
                  <c:v>3</c:v>
                </c:pt>
                <c:pt idx="114">
                  <c:v>11</c:v>
                </c:pt>
                <c:pt idx="115">
                  <c:v>10.6</c:v>
                </c:pt>
                <c:pt idx="116">
                  <c:v>4.3</c:v>
                </c:pt>
                <c:pt idx="117">
                  <c:v>8</c:v>
                </c:pt>
                <c:pt idx="118">
                  <c:v>7.7</c:v>
                </c:pt>
                <c:pt idx="119">
                  <c:v>2.7</c:v>
                </c:pt>
                <c:pt idx="120">
                  <c:v>9.4</c:v>
                </c:pt>
                <c:pt idx="121">
                  <c:v>6.9</c:v>
                </c:pt>
                <c:pt idx="122">
                  <c:v>9.6</c:v>
                </c:pt>
                <c:pt idx="123">
                  <c:v>6.8</c:v>
                </c:pt>
                <c:pt idx="124">
                  <c:v>1</c:v>
                </c:pt>
                <c:pt idx="125">
                  <c:v>4.5999999999999996</c:v>
                </c:pt>
                <c:pt idx="126">
                  <c:v>1.2</c:v>
                </c:pt>
                <c:pt idx="127">
                  <c:v>11.2</c:v>
                </c:pt>
                <c:pt idx="128">
                  <c:v>10.7</c:v>
                </c:pt>
                <c:pt idx="129">
                  <c:v>10.1</c:v>
                </c:pt>
                <c:pt idx="130">
                  <c:v>4.4000000000000004</c:v>
                </c:pt>
                <c:pt idx="131">
                  <c:v>1.6</c:v>
                </c:pt>
                <c:pt idx="132">
                  <c:v>10.7</c:v>
                </c:pt>
                <c:pt idx="133">
                  <c:v>11.4</c:v>
                </c:pt>
                <c:pt idx="134">
                  <c:v>1.9</c:v>
                </c:pt>
                <c:pt idx="135">
                  <c:v>6.3</c:v>
                </c:pt>
                <c:pt idx="136">
                  <c:v>1.8</c:v>
                </c:pt>
                <c:pt idx="137">
                  <c:v>9.4</c:v>
                </c:pt>
                <c:pt idx="138">
                  <c:v>9.4</c:v>
                </c:pt>
                <c:pt idx="139">
                  <c:v>2.4</c:v>
                </c:pt>
                <c:pt idx="140">
                  <c:v>6.2</c:v>
                </c:pt>
                <c:pt idx="141">
                  <c:v>7</c:v>
                </c:pt>
                <c:pt idx="142">
                  <c:v>3.9</c:v>
                </c:pt>
                <c:pt idx="143">
                  <c:v>10.6</c:v>
                </c:pt>
                <c:pt idx="144">
                  <c:v>5.7</c:v>
                </c:pt>
                <c:pt idx="145">
                  <c:v>3.3</c:v>
                </c:pt>
                <c:pt idx="146">
                  <c:v>6.9</c:v>
                </c:pt>
                <c:pt idx="147">
                  <c:v>9</c:v>
                </c:pt>
                <c:pt idx="148">
                  <c:v>3.2</c:v>
                </c:pt>
                <c:pt idx="149">
                  <c:v>4.4000000000000004</c:v>
                </c:pt>
                <c:pt idx="150">
                  <c:v>11.9</c:v>
                </c:pt>
                <c:pt idx="151">
                  <c:v>8.1</c:v>
                </c:pt>
                <c:pt idx="152">
                  <c:v>5.8</c:v>
                </c:pt>
                <c:pt idx="153">
                  <c:v>6.7</c:v>
                </c:pt>
                <c:pt idx="154">
                  <c:v>2.2999999999999998</c:v>
                </c:pt>
                <c:pt idx="155">
                  <c:v>3.5</c:v>
                </c:pt>
                <c:pt idx="156">
                  <c:v>4.7</c:v>
                </c:pt>
                <c:pt idx="157">
                  <c:v>7.5</c:v>
                </c:pt>
                <c:pt idx="158">
                  <c:v>3.5</c:v>
                </c:pt>
                <c:pt idx="159">
                  <c:v>3.4</c:v>
                </c:pt>
                <c:pt idx="160">
                  <c:v>1.8</c:v>
                </c:pt>
                <c:pt idx="161">
                  <c:v>7.9</c:v>
                </c:pt>
                <c:pt idx="162">
                  <c:v>3.5</c:v>
                </c:pt>
                <c:pt idx="163">
                  <c:v>11</c:v>
                </c:pt>
                <c:pt idx="164">
                  <c:v>10.5</c:v>
                </c:pt>
                <c:pt idx="165">
                  <c:v>1.8</c:v>
                </c:pt>
                <c:pt idx="166">
                  <c:v>3.6</c:v>
                </c:pt>
                <c:pt idx="167">
                  <c:v>8.4</c:v>
                </c:pt>
                <c:pt idx="168">
                  <c:v>3.4</c:v>
                </c:pt>
                <c:pt idx="169">
                  <c:v>2.5</c:v>
                </c:pt>
                <c:pt idx="170">
                  <c:v>11.3</c:v>
                </c:pt>
                <c:pt idx="171">
                  <c:v>7.3</c:v>
                </c:pt>
                <c:pt idx="172">
                  <c:v>6.2</c:v>
                </c:pt>
                <c:pt idx="173">
                  <c:v>9.6</c:v>
                </c:pt>
                <c:pt idx="174">
                  <c:v>9.9</c:v>
                </c:pt>
                <c:pt idx="175">
                  <c:v>3.1</c:v>
                </c:pt>
                <c:pt idx="176">
                  <c:v>2.1</c:v>
                </c:pt>
                <c:pt idx="177">
                  <c:v>5.7</c:v>
                </c:pt>
                <c:pt idx="178">
                  <c:v>5.7</c:v>
                </c:pt>
                <c:pt idx="179">
                  <c:v>6.1</c:v>
                </c:pt>
                <c:pt idx="180">
                  <c:v>9</c:v>
                </c:pt>
                <c:pt idx="181">
                  <c:v>8.4</c:v>
                </c:pt>
                <c:pt idx="182">
                  <c:v>11.8</c:v>
                </c:pt>
                <c:pt idx="183">
                  <c:v>2.1</c:v>
                </c:pt>
                <c:pt idx="184">
                  <c:v>5.4</c:v>
                </c:pt>
                <c:pt idx="185">
                  <c:v>4.7</c:v>
                </c:pt>
                <c:pt idx="186">
                  <c:v>10.5</c:v>
                </c:pt>
                <c:pt idx="187">
                  <c:v>3.7</c:v>
                </c:pt>
                <c:pt idx="188">
                  <c:v>3.1</c:v>
                </c:pt>
                <c:pt idx="189">
                  <c:v>5.9</c:v>
                </c:pt>
                <c:pt idx="190">
                  <c:v>5.6</c:v>
                </c:pt>
                <c:pt idx="191">
                  <c:v>4.0999999999999996</c:v>
                </c:pt>
                <c:pt idx="192">
                  <c:v>3.7</c:v>
                </c:pt>
                <c:pt idx="193">
                  <c:v>11.2</c:v>
                </c:pt>
                <c:pt idx="194">
                  <c:v>5.9</c:v>
                </c:pt>
                <c:pt idx="195">
                  <c:v>10.5</c:v>
                </c:pt>
                <c:pt idx="196">
                  <c:v>7.1</c:v>
                </c:pt>
                <c:pt idx="197">
                  <c:v>1.6</c:v>
                </c:pt>
                <c:pt idx="198">
                  <c:v>12</c:v>
                </c:pt>
                <c:pt idx="199">
                  <c:v>10.199999999999999</c:v>
                </c:pt>
              </c:numCache>
            </c:numRef>
          </c:xVal>
          <c:yVal>
            <c:numRef>
              <c:f>student_exam_scores!$F$2:$F$201</c:f>
              <c:numCache>
                <c:formatCode>0.00</c:formatCode>
                <c:ptCount val="200"/>
                <c:pt idx="0">
                  <c:v>30.2</c:v>
                </c:pt>
                <c:pt idx="1">
                  <c:v>25</c:v>
                </c:pt>
                <c:pt idx="2">
                  <c:v>35.799999999999997</c:v>
                </c:pt>
                <c:pt idx="3">
                  <c:v>34</c:v>
                </c:pt>
                <c:pt idx="4">
                  <c:v>40.299999999999997</c:v>
                </c:pt>
                <c:pt idx="5">
                  <c:v>35.700000000000003</c:v>
                </c:pt>
                <c:pt idx="6">
                  <c:v>37.9</c:v>
                </c:pt>
                <c:pt idx="7">
                  <c:v>18.3</c:v>
                </c:pt>
                <c:pt idx="8">
                  <c:v>34.700000000000003</c:v>
                </c:pt>
                <c:pt idx="9">
                  <c:v>24.7</c:v>
                </c:pt>
                <c:pt idx="10">
                  <c:v>29.3</c:v>
                </c:pt>
                <c:pt idx="11">
                  <c:v>35.1</c:v>
                </c:pt>
                <c:pt idx="12">
                  <c:v>31.2</c:v>
                </c:pt>
                <c:pt idx="13">
                  <c:v>30.2</c:v>
                </c:pt>
                <c:pt idx="14">
                  <c:v>41.1</c:v>
                </c:pt>
                <c:pt idx="15">
                  <c:v>34.1</c:v>
                </c:pt>
                <c:pt idx="16">
                  <c:v>28.9</c:v>
                </c:pt>
                <c:pt idx="17">
                  <c:v>36.299999999999997</c:v>
                </c:pt>
                <c:pt idx="18">
                  <c:v>35.6</c:v>
                </c:pt>
                <c:pt idx="19">
                  <c:v>17.100000000000001</c:v>
                </c:pt>
                <c:pt idx="20">
                  <c:v>46</c:v>
                </c:pt>
                <c:pt idx="21">
                  <c:v>36.1</c:v>
                </c:pt>
                <c:pt idx="22">
                  <c:v>29.6</c:v>
                </c:pt>
                <c:pt idx="23">
                  <c:v>35.9</c:v>
                </c:pt>
                <c:pt idx="24">
                  <c:v>39.200000000000003</c:v>
                </c:pt>
                <c:pt idx="25">
                  <c:v>30</c:v>
                </c:pt>
                <c:pt idx="26">
                  <c:v>29</c:v>
                </c:pt>
                <c:pt idx="27">
                  <c:v>26.5</c:v>
                </c:pt>
                <c:pt idx="28">
                  <c:v>37.200000000000003</c:v>
                </c:pt>
                <c:pt idx="29">
                  <c:v>36.200000000000003</c:v>
                </c:pt>
                <c:pt idx="30">
                  <c:v>34.5</c:v>
                </c:pt>
                <c:pt idx="31">
                  <c:v>41.6</c:v>
                </c:pt>
                <c:pt idx="32">
                  <c:v>38.1</c:v>
                </c:pt>
                <c:pt idx="33">
                  <c:v>42.7</c:v>
                </c:pt>
                <c:pt idx="34">
                  <c:v>32</c:v>
                </c:pt>
                <c:pt idx="35">
                  <c:v>32</c:v>
                </c:pt>
                <c:pt idx="36">
                  <c:v>44.7</c:v>
                </c:pt>
                <c:pt idx="37">
                  <c:v>38.299999999999997</c:v>
                </c:pt>
                <c:pt idx="38">
                  <c:v>39.799999999999997</c:v>
                </c:pt>
                <c:pt idx="39">
                  <c:v>35</c:v>
                </c:pt>
                <c:pt idx="40">
                  <c:v>34.200000000000003</c:v>
                </c:pt>
                <c:pt idx="41">
                  <c:v>23.1</c:v>
                </c:pt>
                <c:pt idx="42">
                  <c:v>37.200000000000003</c:v>
                </c:pt>
                <c:pt idx="43">
                  <c:v>30.3</c:v>
                </c:pt>
                <c:pt idx="44">
                  <c:v>26.1</c:v>
                </c:pt>
                <c:pt idx="45">
                  <c:v>31.8</c:v>
                </c:pt>
                <c:pt idx="46">
                  <c:v>31.6</c:v>
                </c:pt>
                <c:pt idx="47">
                  <c:v>31.1</c:v>
                </c:pt>
                <c:pt idx="48">
                  <c:v>41.2</c:v>
                </c:pt>
                <c:pt idx="49">
                  <c:v>30.6</c:v>
                </c:pt>
                <c:pt idx="50">
                  <c:v>28.8</c:v>
                </c:pt>
                <c:pt idx="51">
                  <c:v>30.7</c:v>
                </c:pt>
                <c:pt idx="52">
                  <c:v>26.9</c:v>
                </c:pt>
                <c:pt idx="53">
                  <c:v>46.4</c:v>
                </c:pt>
                <c:pt idx="54">
                  <c:v>34.4</c:v>
                </c:pt>
                <c:pt idx="55">
                  <c:v>37</c:v>
                </c:pt>
                <c:pt idx="56">
                  <c:v>35.200000000000003</c:v>
                </c:pt>
                <c:pt idx="57">
                  <c:v>38.200000000000003</c:v>
                </c:pt>
                <c:pt idx="58">
                  <c:v>33</c:v>
                </c:pt>
                <c:pt idx="59">
                  <c:v>29.2</c:v>
                </c:pt>
                <c:pt idx="60">
                  <c:v>48.6</c:v>
                </c:pt>
                <c:pt idx="61">
                  <c:v>36.1</c:v>
                </c:pt>
                <c:pt idx="62">
                  <c:v>27.1</c:v>
                </c:pt>
                <c:pt idx="63">
                  <c:v>36.1</c:v>
                </c:pt>
                <c:pt idx="64">
                  <c:v>39.5</c:v>
                </c:pt>
                <c:pt idx="65">
                  <c:v>36.700000000000003</c:v>
                </c:pt>
                <c:pt idx="66">
                  <c:v>21.7</c:v>
                </c:pt>
                <c:pt idx="67">
                  <c:v>32.200000000000003</c:v>
                </c:pt>
                <c:pt idx="68">
                  <c:v>33.5</c:v>
                </c:pt>
                <c:pt idx="69">
                  <c:v>23.9</c:v>
                </c:pt>
                <c:pt idx="70">
                  <c:v>20.8</c:v>
                </c:pt>
                <c:pt idx="71">
                  <c:v>47.9</c:v>
                </c:pt>
                <c:pt idx="72">
                  <c:v>41.9</c:v>
                </c:pt>
                <c:pt idx="73">
                  <c:v>29.5</c:v>
                </c:pt>
                <c:pt idx="74">
                  <c:v>33.5</c:v>
                </c:pt>
                <c:pt idx="75">
                  <c:v>26.3</c:v>
                </c:pt>
                <c:pt idx="76">
                  <c:v>39.9</c:v>
                </c:pt>
                <c:pt idx="77">
                  <c:v>40.299999999999997</c:v>
                </c:pt>
                <c:pt idx="78">
                  <c:v>26.5</c:v>
                </c:pt>
                <c:pt idx="79">
                  <c:v>34.200000000000003</c:v>
                </c:pt>
                <c:pt idx="80">
                  <c:v>30.8</c:v>
                </c:pt>
                <c:pt idx="81">
                  <c:v>32.4</c:v>
                </c:pt>
                <c:pt idx="82">
                  <c:v>39.799999999999997</c:v>
                </c:pt>
                <c:pt idx="83">
                  <c:v>48.9</c:v>
                </c:pt>
                <c:pt idx="84">
                  <c:v>38</c:v>
                </c:pt>
                <c:pt idx="85">
                  <c:v>26.5</c:v>
                </c:pt>
                <c:pt idx="86">
                  <c:v>51.3</c:v>
                </c:pt>
                <c:pt idx="87">
                  <c:v>28.6</c:v>
                </c:pt>
                <c:pt idx="88">
                  <c:v>32.1</c:v>
                </c:pt>
                <c:pt idx="89">
                  <c:v>23.9</c:v>
                </c:pt>
                <c:pt idx="90">
                  <c:v>27.3</c:v>
                </c:pt>
                <c:pt idx="91">
                  <c:v>34</c:v>
                </c:pt>
                <c:pt idx="92">
                  <c:v>37.5</c:v>
                </c:pt>
                <c:pt idx="93">
                  <c:v>29.1</c:v>
                </c:pt>
                <c:pt idx="94">
                  <c:v>28.1</c:v>
                </c:pt>
                <c:pt idx="95">
                  <c:v>28.7</c:v>
                </c:pt>
                <c:pt idx="96">
                  <c:v>36.9</c:v>
                </c:pt>
                <c:pt idx="97">
                  <c:v>36</c:v>
                </c:pt>
                <c:pt idx="98">
                  <c:v>39.9</c:v>
                </c:pt>
                <c:pt idx="99">
                  <c:v>37.1</c:v>
                </c:pt>
                <c:pt idx="100">
                  <c:v>31.4</c:v>
                </c:pt>
                <c:pt idx="101">
                  <c:v>31.3</c:v>
                </c:pt>
                <c:pt idx="102">
                  <c:v>35.700000000000003</c:v>
                </c:pt>
                <c:pt idx="103">
                  <c:v>32.6</c:v>
                </c:pt>
                <c:pt idx="104">
                  <c:v>24.1</c:v>
                </c:pt>
                <c:pt idx="105">
                  <c:v>38.200000000000003</c:v>
                </c:pt>
                <c:pt idx="106">
                  <c:v>23.7</c:v>
                </c:pt>
                <c:pt idx="107">
                  <c:v>39.200000000000003</c:v>
                </c:pt>
                <c:pt idx="108">
                  <c:v>23.2</c:v>
                </c:pt>
                <c:pt idx="109">
                  <c:v>42.2</c:v>
                </c:pt>
                <c:pt idx="110">
                  <c:v>39.6</c:v>
                </c:pt>
                <c:pt idx="111">
                  <c:v>34.799999999999997</c:v>
                </c:pt>
                <c:pt idx="112">
                  <c:v>34.6</c:v>
                </c:pt>
                <c:pt idx="113">
                  <c:v>26.4</c:v>
                </c:pt>
                <c:pt idx="114">
                  <c:v>43.1</c:v>
                </c:pt>
                <c:pt idx="115">
                  <c:v>46.4</c:v>
                </c:pt>
                <c:pt idx="116">
                  <c:v>25.2</c:v>
                </c:pt>
                <c:pt idx="117">
                  <c:v>31.3</c:v>
                </c:pt>
                <c:pt idx="118">
                  <c:v>35.799999999999997</c:v>
                </c:pt>
                <c:pt idx="119">
                  <c:v>29.8</c:v>
                </c:pt>
                <c:pt idx="120">
                  <c:v>47.9</c:v>
                </c:pt>
                <c:pt idx="121">
                  <c:v>40.9</c:v>
                </c:pt>
                <c:pt idx="122">
                  <c:v>44.1</c:v>
                </c:pt>
                <c:pt idx="123">
                  <c:v>39.299999999999997</c:v>
                </c:pt>
                <c:pt idx="124">
                  <c:v>21.2</c:v>
                </c:pt>
                <c:pt idx="125">
                  <c:v>38.6</c:v>
                </c:pt>
                <c:pt idx="126">
                  <c:v>26.8</c:v>
                </c:pt>
                <c:pt idx="127">
                  <c:v>42.7</c:v>
                </c:pt>
                <c:pt idx="128">
                  <c:v>36.1</c:v>
                </c:pt>
                <c:pt idx="129">
                  <c:v>39.200000000000003</c:v>
                </c:pt>
                <c:pt idx="130">
                  <c:v>32.9</c:v>
                </c:pt>
                <c:pt idx="131">
                  <c:v>28.8</c:v>
                </c:pt>
                <c:pt idx="132">
                  <c:v>45.7</c:v>
                </c:pt>
                <c:pt idx="133">
                  <c:v>40.799999999999997</c:v>
                </c:pt>
                <c:pt idx="134">
                  <c:v>30.6</c:v>
                </c:pt>
                <c:pt idx="135">
                  <c:v>41.1</c:v>
                </c:pt>
                <c:pt idx="136">
                  <c:v>29</c:v>
                </c:pt>
                <c:pt idx="137">
                  <c:v>35.1</c:v>
                </c:pt>
                <c:pt idx="138">
                  <c:v>39.9</c:v>
                </c:pt>
                <c:pt idx="139">
                  <c:v>29.9</c:v>
                </c:pt>
                <c:pt idx="140">
                  <c:v>35</c:v>
                </c:pt>
                <c:pt idx="141">
                  <c:v>43.3</c:v>
                </c:pt>
                <c:pt idx="142">
                  <c:v>19</c:v>
                </c:pt>
                <c:pt idx="143">
                  <c:v>35.1</c:v>
                </c:pt>
                <c:pt idx="144">
                  <c:v>29.9</c:v>
                </c:pt>
                <c:pt idx="145">
                  <c:v>33</c:v>
                </c:pt>
                <c:pt idx="146">
                  <c:v>45.8</c:v>
                </c:pt>
                <c:pt idx="147">
                  <c:v>35.5</c:v>
                </c:pt>
                <c:pt idx="148">
                  <c:v>26.4</c:v>
                </c:pt>
                <c:pt idx="149">
                  <c:v>21.9</c:v>
                </c:pt>
                <c:pt idx="150">
                  <c:v>44.1</c:v>
                </c:pt>
                <c:pt idx="151">
                  <c:v>42.3</c:v>
                </c:pt>
                <c:pt idx="152">
                  <c:v>27.7</c:v>
                </c:pt>
                <c:pt idx="153">
                  <c:v>33.4</c:v>
                </c:pt>
                <c:pt idx="154">
                  <c:v>29.7</c:v>
                </c:pt>
                <c:pt idx="155">
                  <c:v>23.6</c:v>
                </c:pt>
                <c:pt idx="156">
                  <c:v>33.6</c:v>
                </c:pt>
                <c:pt idx="157">
                  <c:v>37.9</c:v>
                </c:pt>
                <c:pt idx="158">
                  <c:v>29.5</c:v>
                </c:pt>
                <c:pt idx="159">
                  <c:v>24.7</c:v>
                </c:pt>
                <c:pt idx="160">
                  <c:v>25.2</c:v>
                </c:pt>
                <c:pt idx="161">
                  <c:v>31.4</c:v>
                </c:pt>
                <c:pt idx="162">
                  <c:v>30</c:v>
                </c:pt>
                <c:pt idx="163">
                  <c:v>35.799999999999997</c:v>
                </c:pt>
                <c:pt idx="164">
                  <c:v>40.6</c:v>
                </c:pt>
                <c:pt idx="165">
                  <c:v>30.1</c:v>
                </c:pt>
                <c:pt idx="166">
                  <c:v>30.3</c:v>
                </c:pt>
                <c:pt idx="167">
                  <c:v>42</c:v>
                </c:pt>
                <c:pt idx="168">
                  <c:v>32.1</c:v>
                </c:pt>
                <c:pt idx="169">
                  <c:v>22.8</c:v>
                </c:pt>
                <c:pt idx="170">
                  <c:v>45.3</c:v>
                </c:pt>
                <c:pt idx="171">
                  <c:v>31</c:v>
                </c:pt>
                <c:pt idx="172">
                  <c:v>31</c:v>
                </c:pt>
                <c:pt idx="173">
                  <c:v>40.9</c:v>
                </c:pt>
                <c:pt idx="174">
                  <c:v>44.8</c:v>
                </c:pt>
                <c:pt idx="175">
                  <c:v>34.4</c:v>
                </c:pt>
                <c:pt idx="176">
                  <c:v>30.7</c:v>
                </c:pt>
                <c:pt idx="177">
                  <c:v>31</c:v>
                </c:pt>
                <c:pt idx="178">
                  <c:v>35</c:v>
                </c:pt>
                <c:pt idx="179">
                  <c:v>31.4</c:v>
                </c:pt>
                <c:pt idx="180">
                  <c:v>38.4</c:v>
                </c:pt>
                <c:pt idx="181">
                  <c:v>36.1</c:v>
                </c:pt>
                <c:pt idx="182">
                  <c:v>44.1</c:v>
                </c:pt>
                <c:pt idx="183">
                  <c:v>19.399999999999999</c:v>
                </c:pt>
                <c:pt idx="184">
                  <c:v>39.4</c:v>
                </c:pt>
                <c:pt idx="185">
                  <c:v>22.9</c:v>
                </c:pt>
                <c:pt idx="186">
                  <c:v>36.200000000000003</c:v>
                </c:pt>
                <c:pt idx="187">
                  <c:v>33.4</c:v>
                </c:pt>
                <c:pt idx="188">
                  <c:v>23.4</c:v>
                </c:pt>
                <c:pt idx="189">
                  <c:v>28</c:v>
                </c:pt>
                <c:pt idx="190">
                  <c:v>32.200000000000003</c:v>
                </c:pt>
                <c:pt idx="191">
                  <c:v>30.7</c:v>
                </c:pt>
                <c:pt idx="192">
                  <c:v>28.8</c:v>
                </c:pt>
                <c:pt idx="193">
                  <c:v>46.7</c:v>
                </c:pt>
                <c:pt idx="194">
                  <c:v>33.799999999999997</c:v>
                </c:pt>
                <c:pt idx="195">
                  <c:v>42.7</c:v>
                </c:pt>
                <c:pt idx="196">
                  <c:v>40.4</c:v>
                </c:pt>
                <c:pt idx="197">
                  <c:v>28.2</c:v>
                </c:pt>
                <c:pt idx="198">
                  <c:v>42</c:v>
                </c:pt>
                <c:pt idx="199">
                  <c:v>37.799999999999997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2C-46AD-9326-560669BE7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8778703"/>
        <c:axId val="1578795503"/>
      </c:scatterChart>
      <c:valAx>
        <c:axId val="1578778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Horas Estudadas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8795503"/>
        <c:crosses val="autoZero"/>
        <c:crossBetween val="midCat"/>
      </c:valAx>
      <c:valAx>
        <c:axId val="1578795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Nota das provas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87787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Prova Final X Horas Dormidas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student_exam_scores!$F$1</c:f>
              <c:strCache>
                <c:ptCount val="1"/>
                <c:pt idx="0">
                  <c:v>exam_score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5098769594408435"/>
                  <c:y val="-0.1548228346456692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student_exam_scores!$C$2:$C$201</c:f>
              <c:numCache>
                <c:formatCode>0.00</c:formatCode>
                <c:ptCount val="200"/>
                <c:pt idx="0">
                  <c:v>8.8000000000000007</c:v>
                </c:pt>
                <c:pt idx="1">
                  <c:v>8.6</c:v>
                </c:pt>
                <c:pt idx="2">
                  <c:v>8.1999999999999993</c:v>
                </c:pt>
                <c:pt idx="3">
                  <c:v>4.8</c:v>
                </c:pt>
                <c:pt idx="4">
                  <c:v>6.4</c:v>
                </c:pt>
                <c:pt idx="5">
                  <c:v>5.0999999999999996</c:v>
                </c:pt>
                <c:pt idx="6">
                  <c:v>6</c:v>
                </c:pt>
                <c:pt idx="7">
                  <c:v>4.3</c:v>
                </c:pt>
                <c:pt idx="8">
                  <c:v>5.9</c:v>
                </c:pt>
                <c:pt idx="9">
                  <c:v>8.9</c:v>
                </c:pt>
                <c:pt idx="10">
                  <c:v>5.3</c:v>
                </c:pt>
                <c:pt idx="11">
                  <c:v>7.9</c:v>
                </c:pt>
                <c:pt idx="12">
                  <c:v>6.3</c:v>
                </c:pt>
                <c:pt idx="13">
                  <c:v>6.1</c:v>
                </c:pt>
                <c:pt idx="14">
                  <c:v>8.8000000000000007</c:v>
                </c:pt>
                <c:pt idx="15">
                  <c:v>9</c:v>
                </c:pt>
                <c:pt idx="16">
                  <c:v>6.8</c:v>
                </c:pt>
                <c:pt idx="17">
                  <c:v>7.6</c:v>
                </c:pt>
                <c:pt idx="18">
                  <c:v>4.8</c:v>
                </c:pt>
                <c:pt idx="19">
                  <c:v>5.5</c:v>
                </c:pt>
                <c:pt idx="20">
                  <c:v>8.8000000000000007</c:v>
                </c:pt>
                <c:pt idx="21">
                  <c:v>6.9</c:v>
                </c:pt>
                <c:pt idx="22">
                  <c:v>6.7</c:v>
                </c:pt>
                <c:pt idx="23">
                  <c:v>7.7</c:v>
                </c:pt>
                <c:pt idx="24">
                  <c:v>4.3</c:v>
                </c:pt>
                <c:pt idx="25">
                  <c:v>6.9</c:v>
                </c:pt>
                <c:pt idx="26">
                  <c:v>6.5</c:v>
                </c:pt>
                <c:pt idx="27">
                  <c:v>8.3000000000000007</c:v>
                </c:pt>
                <c:pt idx="28">
                  <c:v>4.8</c:v>
                </c:pt>
                <c:pt idx="29">
                  <c:v>8.8000000000000007</c:v>
                </c:pt>
                <c:pt idx="30">
                  <c:v>4.4000000000000004</c:v>
                </c:pt>
                <c:pt idx="31">
                  <c:v>4.9000000000000004</c:v>
                </c:pt>
                <c:pt idx="32">
                  <c:v>7</c:v>
                </c:pt>
                <c:pt idx="33">
                  <c:v>7.4</c:v>
                </c:pt>
                <c:pt idx="34">
                  <c:v>5.2</c:v>
                </c:pt>
                <c:pt idx="35">
                  <c:v>4.5999999999999996</c:v>
                </c:pt>
                <c:pt idx="36">
                  <c:v>8.5</c:v>
                </c:pt>
                <c:pt idx="37">
                  <c:v>5.2</c:v>
                </c:pt>
                <c:pt idx="38">
                  <c:v>7</c:v>
                </c:pt>
                <c:pt idx="39">
                  <c:v>7.1</c:v>
                </c:pt>
                <c:pt idx="40">
                  <c:v>6.1</c:v>
                </c:pt>
                <c:pt idx="41">
                  <c:v>6.9</c:v>
                </c:pt>
                <c:pt idx="42">
                  <c:v>6.6</c:v>
                </c:pt>
                <c:pt idx="43">
                  <c:v>8.6999999999999993</c:v>
                </c:pt>
                <c:pt idx="44">
                  <c:v>5</c:v>
                </c:pt>
                <c:pt idx="45">
                  <c:v>7.6</c:v>
                </c:pt>
                <c:pt idx="46">
                  <c:v>5.2</c:v>
                </c:pt>
                <c:pt idx="47">
                  <c:v>6</c:v>
                </c:pt>
                <c:pt idx="48">
                  <c:v>7.4</c:v>
                </c:pt>
                <c:pt idx="49">
                  <c:v>5.5</c:v>
                </c:pt>
                <c:pt idx="50">
                  <c:v>5.6</c:v>
                </c:pt>
                <c:pt idx="51">
                  <c:v>7.8</c:v>
                </c:pt>
                <c:pt idx="52">
                  <c:v>4.4000000000000004</c:v>
                </c:pt>
                <c:pt idx="53">
                  <c:v>6.3</c:v>
                </c:pt>
                <c:pt idx="54">
                  <c:v>9</c:v>
                </c:pt>
                <c:pt idx="55">
                  <c:v>9</c:v>
                </c:pt>
                <c:pt idx="56">
                  <c:v>4.4000000000000004</c:v>
                </c:pt>
                <c:pt idx="57">
                  <c:v>5.0999999999999996</c:v>
                </c:pt>
                <c:pt idx="58">
                  <c:v>5.3</c:v>
                </c:pt>
                <c:pt idx="59">
                  <c:v>8.6999999999999993</c:v>
                </c:pt>
                <c:pt idx="60">
                  <c:v>8.4</c:v>
                </c:pt>
                <c:pt idx="61">
                  <c:v>8.4</c:v>
                </c:pt>
                <c:pt idx="62">
                  <c:v>5.8</c:v>
                </c:pt>
                <c:pt idx="63">
                  <c:v>4.8</c:v>
                </c:pt>
                <c:pt idx="64">
                  <c:v>8.1999999999999993</c:v>
                </c:pt>
                <c:pt idx="65">
                  <c:v>7.5</c:v>
                </c:pt>
                <c:pt idx="66">
                  <c:v>7.1</c:v>
                </c:pt>
                <c:pt idx="67">
                  <c:v>8.9</c:v>
                </c:pt>
                <c:pt idx="68">
                  <c:v>7.3</c:v>
                </c:pt>
                <c:pt idx="69">
                  <c:v>4</c:v>
                </c:pt>
                <c:pt idx="70">
                  <c:v>8.1</c:v>
                </c:pt>
                <c:pt idx="71">
                  <c:v>5.5</c:v>
                </c:pt>
                <c:pt idx="72">
                  <c:v>7.3</c:v>
                </c:pt>
                <c:pt idx="73">
                  <c:v>8.6999999999999993</c:v>
                </c:pt>
                <c:pt idx="74">
                  <c:v>4.7</c:v>
                </c:pt>
                <c:pt idx="75">
                  <c:v>4.5999999999999996</c:v>
                </c:pt>
                <c:pt idx="76">
                  <c:v>4.5</c:v>
                </c:pt>
                <c:pt idx="77">
                  <c:v>6.8</c:v>
                </c:pt>
                <c:pt idx="78">
                  <c:v>5.4</c:v>
                </c:pt>
                <c:pt idx="79">
                  <c:v>7</c:v>
                </c:pt>
                <c:pt idx="80">
                  <c:v>7.6</c:v>
                </c:pt>
                <c:pt idx="81">
                  <c:v>5</c:v>
                </c:pt>
                <c:pt idx="82">
                  <c:v>7.2</c:v>
                </c:pt>
                <c:pt idx="83">
                  <c:v>5.3</c:v>
                </c:pt>
                <c:pt idx="84">
                  <c:v>6.4</c:v>
                </c:pt>
                <c:pt idx="85">
                  <c:v>8.5</c:v>
                </c:pt>
                <c:pt idx="86">
                  <c:v>8.1999999999999993</c:v>
                </c:pt>
                <c:pt idx="87">
                  <c:v>4.5</c:v>
                </c:pt>
                <c:pt idx="88">
                  <c:v>6.1</c:v>
                </c:pt>
                <c:pt idx="89">
                  <c:v>5.4</c:v>
                </c:pt>
                <c:pt idx="90">
                  <c:v>4</c:v>
                </c:pt>
                <c:pt idx="91">
                  <c:v>7.9</c:v>
                </c:pt>
                <c:pt idx="92">
                  <c:v>7.2</c:v>
                </c:pt>
                <c:pt idx="93">
                  <c:v>5.3</c:v>
                </c:pt>
                <c:pt idx="94">
                  <c:v>7.7</c:v>
                </c:pt>
                <c:pt idx="95">
                  <c:v>6.8</c:v>
                </c:pt>
                <c:pt idx="96">
                  <c:v>6.1</c:v>
                </c:pt>
                <c:pt idx="97">
                  <c:v>4</c:v>
                </c:pt>
                <c:pt idx="98">
                  <c:v>4.4000000000000004</c:v>
                </c:pt>
                <c:pt idx="99">
                  <c:v>8.4</c:v>
                </c:pt>
                <c:pt idx="100">
                  <c:v>8.5</c:v>
                </c:pt>
                <c:pt idx="101">
                  <c:v>6.7</c:v>
                </c:pt>
                <c:pt idx="102">
                  <c:v>8.1999999999999993</c:v>
                </c:pt>
                <c:pt idx="103">
                  <c:v>6.9</c:v>
                </c:pt>
                <c:pt idx="104">
                  <c:v>4.7</c:v>
                </c:pt>
                <c:pt idx="105">
                  <c:v>4.5999999999999996</c:v>
                </c:pt>
                <c:pt idx="106">
                  <c:v>5.5</c:v>
                </c:pt>
                <c:pt idx="107">
                  <c:v>8.5</c:v>
                </c:pt>
                <c:pt idx="108">
                  <c:v>8</c:v>
                </c:pt>
                <c:pt idx="109">
                  <c:v>8.3000000000000007</c:v>
                </c:pt>
                <c:pt idx="110">
                  <c:v>8.5</c:v>
                </c:pt>
                <c:pt idx="111">
                  <c:v>5.0999999999999996</c:v>
                </c:pt>
                <c:pt idx="112">
                  <c:v>5.2</c:v>
                </c:pt>
                <c:pt idx="113">
                  <c:v>4.5</c:v>
                </c:pt>
                <c:pt idx="114">
                  <c:v>7.9</c:v>
                </c:pt>
                <c:pt idx="115">
                  <c:v>8.4</c:v>
                </c:pt>
                <c:pt idx="116">
                  <c:v>6</c:v>
                </c:pt>
                <c:pt idx="117">
                  <c:v>7.1</c:v>
                </c:pt>
                <c:pt idx="118">
                  <c:v>4.8</c:v>
                </c:pt>
                <c:pt idx="119">
                  <c:v>8.6</c:v>
                </c:pt>
                <c:pt idx="120">
                  <c:v>8.3000000000000007</c:v>
                </c:pt>
                <c:pt idx="121">
                  <c:v>8.9</c:v>
                </c:pt>
                <c:pt idx="122">
                  <c:v>8.1</c:v>
                </c:pt>
                <c:pt idx="123">
                  <c:v>8.4</c:v>
                </c:pt>
                <c:pt idx="124">
                  <c:v>4.0999999999999996</c:v>
                </c:pt>
                <c:pt idx="125">
                  <c:v>7.7</c:v>
                </c:pt>
                <c:pt idx="126">
                  <c:v>5.7</c:v>
                </c:pt>
                <c:pt idx="127">
                  <c:v>8.6999999999999993</c:v>
                </c:pt>
                <c:pt idx="128">
                  <c:v>8</c:v>
                </c:pt>
                <c:pt idx="129">
                  <c:v>8.3000000000000007</c:v>
                </c:pt>
                <c:pt idx="130">
                  <c:v>8.1</c:v>
                </c:pt>
                <c:pt idx="131">
                  <c:v>5.3</c:v>
                </c:pt>
                <c:pt idx="132">
                  <c:v>7.9</c:v>
                </c:pt>
                <c:pt idx="133">
                  <c:v>4.5</c:v>
                </c:pt>
                <c:pt idx="134">
                  <c:v>8.4</c:v>
                </c:pt>
                <c:pt idx="135">
                  <c:v>8.3000000000000007</c:v>
                </c:pt>
                <c:pt idx="136">
                  <c:v>5.0999999999999996</c:v>
                </c:pt>
                <c:pt idx="137">
                  <c:v>8.1</c:v>
                </c:pt>
                <c:pt idx="138">
                  <c:v>6.3</c:v>
                </c:pt>
                <c:pt idx="139">
                  <c:v>5.5</c:v>
                </c:pt>
                <c:pt idx="140">
                  <c:v>8</c:v>
                </c:pt>
                <c:pt idx="141">
                  <c:v>5.0999999999999996</c:v>
                </c:pt>
                <c:pt idx="142">
                  <c:v>4.0999999999999996</c:v>
                </c:pt>
                <c:pt idx="143">
                  <c:v>5</c:v>
                </c:pt>
                <c:pt idx="144">
                  <c:v>5.6</c:v>
                </c:pt>
                <c:pt idx="145">
                  <c:v>8.3000000000000007</c:v>
                </c:pt>
                <c:pt idx="146">
                  <c:v>8.8000000000000007</c:v>
                </c:pt>
                <c:pt idx="147">
                  <c:v>5.4</c:v>
                </c:pt>
                <c:pt idx="148">
                  <c:v>7.2</c:v>
                </c:pt>
                <c:pt idx="149">
                  <c:v>6</c:v>
                </c:pt>
                <c:pt idx="150">
                  <c:v>8.9</c:v>
                </c:pt>
                <c:pt idx="151">
                  <c:v>6.7</c:v>
                </c:pt>
                <c:pt idx="152">
                  <c:v>8.6999999999999993</c:v>
                </c:pt>
                <c:pt idx="153">
                  <c:v>4.5999999999999996</c:v>
                </c:pt>
                <c:pt idx="154">
                  <c:v>8.9</c:v>
                </c:pt>
                <c:pt idx="155">
                  <c:v>4.9000000000000004</c:v>
                </c:pt>
                <c:pt idx="156">
                  <c:v>8.8000000000000007</c:v>
                </c:pt>
                <c:pt idx="157">
                  <c:v>5.3</c:v>
                </c:pt>
                <c:pt idx="158">
                  <c:v>4.5</c:v>
                </c:pt>
                <c:pt idx="159">
                  <c:v>6.2</c:v>
                </c:pt>
                <c:pt idx="160">
                  <c:v>7.6</c:v>
                </c:pt>
                <c:pt idx="161">
                  <c:v>5.6</c:v>
                </c:pt>
                <c:pt idx="162">
                  <c:v>7</c:v>
                </c:pt>
                <c:pt idx="163">
                  <c:v>6.6</c:v>
                </c:pt>
                <c:pt idx="164">
                  <c:v>5.9</c:v>
                </c:pt>
                <c:pt idx="165">
                  <c:v>6.9</c:v>
                </c:pt>
                <c:pt idx="166">
                  <c:v>5.3</c:v>
                </c:pt>
                <c:pt idx="167">
                  <c:v>7.5</c:v>
                </c:pt>
                <c:pt idx="168">
                  <c:v>4</c:v>
                </c:pt>
                <c:pt idx="169">
                  <c:v>8.6</c:v>
                </c:pt>
                <c:pt idx="170">
                  <c:v>6.7</c:v>
                </c:pt>
                <c:pt idx="171">
                  <c:v>7.6</c:v>
                </c:pt>
                <c:pt idx="172">
                  <c:v>7.7</c:v>
                </c:pt>
                <c:pt idx="173">
                  <c:v>7.4</c:v>
                </c:pt>
                <c:pt idx="174">
                  <c:v>5.8</c:v>
                </c:pt>
                <c:pt idx="175">
                  <c:v>4.3</c:v>
                </c:pt>
                <c:pt idx="176">
                  <c:v>7.3</c:v>
                </c:pt>
                <c:pt idx="177">
                  <c:v>5.7</c:v>
                </c:pt>
                <c:pt idx="178">
                  <c:v>5.6</c:v>
                </c:pt>
                <c:pt idx="179">
                  <c:v>8.1999999999999993</c:v>
                </c:pt>
                <c:pt idx="180">
                  <c:v>7.6</c:v>
                </c:pt>
                <c:pt idx="181">
                  <c:v>5.5</c:v>
                </c:pt>
                <c:pt idx="182">
                  <c:v>5.5</c:v>
                </c:pt>
                <c:pt idx="183">
                  <c:v>6</c:v>
                </c:pt>
                <c:pt idx="184">
                  <c:v>6</c:v>
                </c:pt>
                <c:pt idx="185">
                  <c:v>5.5</c:v>
                </c:pt>
                <c:pt idx="186">
                  <c:v>4.5999999999999996</c:v>
                </c:pt>
                <c:pt idx="187">
                  <c:v>6.1</c:v>
                </c:pt>
                <c:pt idx="188">
                  <c:v>8.6999999999999993</c:v>
                </c:pt>
                <c:pt idx="189">
                  <c:v>7.4</c:v>
                </c:pt>
                <c:pt idx="190">
                  <c:v>8.5</c:v>
                </c:pt>
                <c:pt idx="191">
                  <c:v>7.1</c:v>
                </c:pt>
                <c:pt idx="192">
                  <c:v>5.5</c:v>
                </c:pt>
                <c:pt idx="193">
                  <c:v>6.7</c:v>
                </c:pt>
                <c:pt idx="194">
                  <c:v>4</c:v>
                </c:pt>
                <c:pt idx="195">
                  <c:v>5.4</c:v>
                </c:pt>
                <c:pt idx="196">
                  <c:v>6.1</c:v>
                </c:pt>
                <c:pt idx="197">
                  <c:v>6.9</c:v>
                </c:pt>
                <c:pt idx="198">
                  <c:v>7.3</c:v>
                </c:pt>
                <c:pt idx="199">
                  <c:v>6.3</c:v>
                </c:pt>
              </c:numCache>
            </c:numRef>
          </c:xVal>
          <c:yVal>
            <c:numRef>
              <c:f>student_exam_scores!$F$2:$F$201</c:f>
              <c:numCache>
                <c:formatCode>0.00</c:formatCode>
                <c:ptCount val="200"/>
                <c:pt idx="0">
                  <c:v>30.2</c:v>
                </c:pt>
                <c:pt idx="1">
                  <c:v>25</c:v>
                </c:pt>
                <c:pt idx="2">
                  <c:v>35.799999999999997</c:v>
                </c:pt>
                <c:pt idx="3">
                  <c:v>34</c:v>
                </c:pt>
                <c:pt idx="4">
                  <c:v>40.299999999999997</c:v>
                </c:pt>
                <c:pt idx="5">
                  <c:v>35.700000000000003</c:v>
                </c:pt>
                <c:pt idx="6">
                  <c:v>37.9</c:v>
                </c:pt>
                <c:pt idx="7">
                  <c:v>18.3</c:v>
                </c:pt>
                <c:pt idx="8">
                  <c:v>34.700000000000003</c:v>
                </c:pt>
                <c:pt idx="9">
                  <c:v>24.7</c:v>
                </c:pt>
                <c:pt idx="10">
                  <c:v>29.3</c:v>
                </c:pt>
                <c:pt idx="11">
                  <c:v>35.1</c:v>
                </c:pt>
                <c:pt idx="12">
                  <c:v>31.2</c:v>
                </c:pt>
                <c:pt idx="13">
                  <c:v>30.2</c:v>
                </c:pt>
                <c:pt idx="14">
                  <c:v>41.1</c:v>
                </c:pt>
                <c:pt idx="15">
                  <c:v>34.1</c:v>
                </c:pt>
                <c:pt idx="16">
                  <c:v>28.9</c:v>
                </c:pt>
                <c:pt idx="17">
                  <c:v>36.299999999999997</c:v>
                </c:pt>
                <c:pt idx="18">
                  <c:v>35.6</c:v>
                </c:pt>
                <c:pt idx="19">
                  <c:v>17.100000000000001</c:v>
                </c:pt>
                <c:pt idx="20">
                  <c:v>46</c:v>
                </c:pt>
                <c:pt idx="21">
                  <c:v>36.1</c:v>
                </c:pt>
                <c:pt idx="22">
                  <c:v>29.6</c:v>
                </c:pt>
                <c:pt idx="23">
                  <c:v>35.9</c:v>
                </c:pt>
                <c:pt idx="24">
                  <c:v>39.200000000000003</c:v>
                </c:pt>
                <c:pt idx="25">
                  <c:v>30</c:v>
                </c:pt>
                <c:pt idx="26">
                  <c:v>29</c:v>
                </c:pt>
                <c:pt idx="27">
                  <c:v>26.5</c:v>
                </c:pt>
                <c:pt idx="28">
                  <c:v>37.200000000000003</c:v>
                </c:pt>
                <c:pt idx="29">
                  <c:v>36.200000000000003</c:v>
                </c:pt>
                <c:pt idx="30">
                  <c:v>34.5</c:v>
                </c:pt>
                <c:pt idx="31">
                  <c:v>41.6</c:v>
                </c:pt>
                <c:pt idx="32">
                  <c:v>38.1</c:v>
                </c:pt>
                <c:pt idx="33">
                  <c:v>42.7</c:v>
                </c:pt>
                <c:pt idx="34">
                  <c:v>32</c:v>
                </c:pt>
                <c:pt idx="35">
                  <c:v>32</c:v>
                </c:pt>
                <c:pt idx="36">
                  <c:v>44.7</c:v>
                </c:pt>
                <c:pt idx="37">
                  <c:v>38.299999999999997</c:v>
                </c:pt>
                <c:pt idx="38">
                  <c:v>39.799999999999997</c:v>
                </c:pt>
                <c:pt idx="39">
                  <c:v>35</c:v>
                </c:pt>
                <c:pt idx="40">
                  <c:v>34.200000000000003</c:v>
                </c:pt>
                <c:pt idx="41">
                  <c:v>23.1</c:v>
                </c:pt>
                <c:pt idx="42">
                  <c:v>37.200000000000003</c:v>
                </c:pt>
                <c:pt idx="43">
                  <c:v>30.3</c:v>
                </c:pt>
                <c:pt idx="44">
                  <c:v>26.1</c:v>
                </c:pt>
                <c:pt idx="45">
                  <c:v>31.8</c:v>
                </c:pt>
                <c:pt idx="46">
                  <c:v>31.6</c:v>
                </c:pt>
                <c:pt idx="47">
                  <c:v>31.1</c:v>
                </c:pt>
                <c:pt idx="48">
                  <c:v>41.2</c:v>
                </c:pt>
                <c:pt idx="49">
                  <c:v>30.6</c:v>
                </c:pt>
                <c:pt idx="50">
                  <c:v>28.8</c:v>
                </c:pt>
                <c:pt idx="51">
                  <c:v>30.7</c:v>
                </c:pt>
                <c:pt idx="52">
                  <c:v>26.9</c:v>
                </c:pt>
                <c:pt idx="53">
                  <c:v>46.4</c:v>
                </c:pt>
                <c:pt idx="54">
                  <c:v>34.4</c:v>
                </c:pt>
                <c:pt idx="55">
                  <c:v>37</c:v>
                </c:pt>
                <c:pt idx="56">
                  <c:v>35.200000000000003</c:v>
                </c:pt>
                <c:pt idx="57">
                  <c:v>38.200000000000003</c:v>
                </c:pt>
                <c:pt idx="58">
                  <c:v>33</c:v>
                </c:pt>
                <c:pt idx="59">
                  <c:v>29.2</c:v>
                </c:pt>
                <c:pt idx="60">
                  <c:v>48.6</c:v>
                </c:pt>
                <c:pt idx="61">
                  <c:v>36.1</c:v>
                </c:pt>
                <c:pt idx="62">
                  <c:v>27.1</c:v>
                </c:pt>
                <c:pt idx="63">
                  <c:v>36.1</c:v>
                </c:pt>
                <c:pt idx="64">
                  <c:v>39.5</c:v>
                </c:pt>
                <c:pt idx="65">
                  <c:v>36.700000000000003</c:v>
                </c:pt>
                <c:pt idx="66">
                  <c:v>21.7</c:v>
                </c:pt>
                <c:pt idx="67">
                  <c:v>32.200000000000003</c:v>
                </c:pt>
                <c:pt idx="68">
                  <c:v>33.5</c:v>
                </c:pt>
                <c:pt idx="69">
                  <c:v>23.9</c:v>
                </c:pt>
                <c:pt idx="70">
                  <c:v>20.8</c:v>
                </c:pt>
                <c:pt idx="71">
                  <c:v>47.9</c:v>
                </c:pt>
                <c:pt idx="72">
                  <c:v>41.9</c:v>
                </c:pt>
                <c:pt idx="73">
                  <c:v>29.5</c:v>
                </c:pt>
                <c:pt idx="74">
                  <c:v>33.5</c:v>
                </c:pt>
                <c:pt idx="75">
                  <c:v>26.3</c:v>
                </c:pt>
                <c:pt idx="76">
                  <c:v>39.9</c:v>
                </c:pt>
                <c:pt idx="77">
                  <c:v>40.299999999999997</c:v>
                </c:pt>
                <c:pt idx="78">
                  <c:v>26.5</c:v>
                </c:pt>
                <c:pt idx="79">
                  <c:v>34.200000000000003</c:v>
                </c:pt>
                <c:pt idx="80">
                  <c:v>30.8</c:v>
                </c:pt>
                <c:pt idx="81">
                  <c:v>32.4</c:v>
                </c:pt>
                <c:pt idx="82">
                  <c:v>39.799999999999997</c:v>
                </c:pt>
                <c:pt idx="83">
                  <c:v>48.9</c:v>
                </c:pt>
                <c:pt idx="84">
                  <c:v>38</c:v>
                </c:pt>
                <c:pt idx="85">
                  <c:v>26.5</c:v>
                </c:pt>
                <c:pt idx="86">
                  <c:v>51.3</c:v>
                </c:pt>
                <c:pt idx="87">
                  <c:v>28.6</c:v>
                </c:pt>
                <c:pt idx="88">
                  <c:v>32.1</c:v>
                </c:pt>
                <c:pt idx="89">
                  <c:v>23.9</c:v>
                </c:pt>
                <c:pt idx="90">
                  <c:v>27.3</c:v>
                </c:pt>
                <c:pt idx="91">
                  <c:v>34</c:v>
                </c:pt>
                <c:pt idx="92">
                  <c:v>37.5</c:v>
                </c:pt>
                <c:pt idx="93">
                  <c:v>29.1</c:v>
                </c:pt>
                <c:pt idx="94">
                  <c:v>28.1</c:v>
                </c:pt>
                <c:pt idx="95">
                  <c:v>28.7</c:v>
                </c:pt>
                <c:pt idx="96">
                  <c:v>36.9</c:v>
                </c:pt>
                <c:pt idx="97">
                  <c:v>36</c:v>
                </c:pt>
                <c:pt idx="98">
                  <c:v>39.9</c:v>
                </c:pt>
                <c:pt idx="99">
                  <c:v>37.1</c:v>
                </c:pt>
                <c:pt idx="100">
                  <c:v>31.4</c:v>
                </c:pt>
                <c:pt idx="101">
                  <c:v>31.3</c:v>
                </c:pt>
                <c:pt idx="102">
                  <c:v>35.700000000000003</c:v>
                </c:pt>
                <c:pt idx="103">
                  <c:v>32.6</c:v>
                </c:pt>
                <c:pt idx="104">
                  <c:v>24.1</c:v>
                </c:pt>
                <c:pt idx="105">
                  <c:v>38.200000000000003</c:v>
                </c:pt>
                <c:pt idx="106">
                  <c:v>23.7</c:v>
                </c:pt>
                <c:pt idx="107">
                  <c:v>39.200000000000003</c:v>
                </c:pt>
                <c:pt idx="108">
                  <c:v>23.2</c:v>
                </c:pt>
                <c:pt idx="109">
                  <c:v>42.2</c:v>
                </c:pt>
                <c:pt idx="110">
                  <c:v>39.6</c:v>
                </c:pt>
                <c:pt idx="111">
                  <c:v>34.799999999999997</c:v>
                </c:pt>
                <c:pt idx="112">
                  <c:v>34.6</c:v>
                </c:pt>
                <c:pt idx="113">
                  <c:v>26.4</c:v>
                </c:pt>
                <c:pt idx="114">
                  <c:v>43.1</c:v>
                </c:pt>
                <c:pt idx="115">
                  <c:v>46.4</c:v>
                </c:pt>
                <c:pt idx="116">
                  <c:v>25.2</c:v>
                </c:pt>
                <c:pt idx="117">
                  <c:v>31.3</c:v>
                </c:pt>
                <c:pt idx="118">
                  <c:v>35.799999999999997</c:v>
                </c:pt>
                <c:pt idx="119">
                  <c:v>29.8</c:v>
                </c:pt>
                <c:pt idx="120">
                  <c:v>47.9</c:v>
                </c:pt>
                <c:pt idx="121">
                  <c:v>40.9</c:v>
                </c:pt>
                <c:pt idx="122">
                  <c:v>44.1</c:v>
                </c:pt>
                <c:pt idx="123">
                  <c:v>39.299999999999997</c:v>
                </c:pt>
                <c:pt idx="124">
                  <c:v>21.2</c:v>
                </c:pt>
                <c:pt idx="125">
                  <c:v>38.6</c:v>
                </c:pt>
                <c:pt idx="126">
                  <c:v>26.8</c:v>
                </c:pt>
                <c:pt idx="127">
                  <c:v>42.7</c:v>
                </c:pt>
                <c:pt idx="128">
                  <c:v>36.1</c:v>
                </c:pt>
                <c:pt idx="129">
                  <c:v>39.200000000000003</c:v>
                </c:pt>
                <c:pt idx="130">
                  <c:v>32.9</c:v>
                </c:pt>
                <c:pt idx="131">
                  <c:v>28.8</c:v>
                </c:pt>
                <c:pt idx="132">
                  <c:v>45.7</c:v>
                </c:pt>
                <c:pt idx="133">
                  <c:v>40.799999999999997</c:v>
                </c:pt>
                <c:pt idx="134">
                  <c:v>30.6</c:v>
                </c:pt>
                <c:pt idx="135">
                  <c:v>41.1</c:v>
                </c:pt>
                <c:pt idx="136">
                  <c:v>29</c:v>
                </c:pt>
                <c:pt idx="137">
                  <c:v>35.1</c:v>
                </c:pt>
                <c:pt idx="138">
                  <c:v>39.9</c:v>
                </c:pt>
                <c:pt idx="139">
                  <c:v>29.9</c:v>
                </c:pt>
                <c:pt idx="140">
                  <c:v>35</c:v>
                </c:pt>
                <c:pt idx="141">
                  <c:v>43.3</c:v>
                </c:pt>
                <c:pt idx="142">
                  <c:v>19</c:v>
                </c:pt>
                <c:pt idx="143">
                  <c:v>35.1</c:v>
                </c:pt>
                <c:pt idx="144">
                  <c:v>29.9</c:v>
                </c:pt>
                <c:pt idx="145">
                  <c:v>33</c:v>
                </c:pt>
                <c:pt idx="146">
                  <c:v>45.8</c:v>
                </c:pt>
                <c:pt idx="147">
                  <c:v>35.5</c:v>
                </c:pt>
                <c:pt idx="148">
                  <c:v>26.4</c:v>
                </c:pt>
                <c:pt idx="149">
                  <c:v>21.9</c:v>
                </c:pt>
                <c:pt idx="150">
                  <c:v>44.1</c:v>
                </c:pt>
                <c:pt idx="151">
                  <c:v>42.3</c:v>
                </c:pt>
                <c:pt idx="152">
                  <c:v>27.7</c:v>
                </c:pt>
                <c:pt idx="153">
                  <c:v>33.4</c:v>
                </c:pt>
                <c:pt idx="154">
                  <c:v>29.7</c:v>
                </c:pt>
                <c:pt idx="155">
                  <c:v>23.6</c:v>
                </c:pt>
                <c:pt idx="156">
                  <c:v>33.6</c:v>
                </c:pt>
                <c:pt idx="157">
                  <c:v>37.9</c:v>
                </c:pt>
                <c:pt idx="158">
                  <c:v>29.5</c:v>
                </c:pt>
                <c:pt idx="159">
                  <c:v>24.7</c:v>
                </c:pt>
                <c:pt idx="160">
                  <c:v>25.2</c:v>
                </c:pt>
                <c:pt idx="161">
                  <c:v>31.4</c:v>
                </c:pt>
                <c:pt idx="162">
                  <c:v>30</c:v>
                </c:pt>
                <c:pt idx="163">
                  <c:v>35.799999999999997</c:v>
                </c:pt>
                <c:pt idx="164">
                  <c:v>40.6</c:v>
                </c:pt>
                <c:pt idx="165">
                  <c:v>30.1</c:v>
                </c:pt>
                <c:pt idx="166">
                  <c:v>30.3</c:v>
                </c:pt>
                <c:pt idx="167">
                  <c:v>42</c:v>
                </c:pt>
                <c:pt idx="168">
                  <c:v>32.1</c:v>
                </c:pt>
                <c:pt idx="169">
                  <c:v>22.8</c:v>
                </c:pt>
                <c:pt idx="170">
                  <c:v>45.3</c:v>
                </c:pt>
                <c:pt idx="171">
                  <c:v>31</c:v>
                </c:pt>
                <c:pt idx="172">
                  <c:v>31</c:v>
                </c:pt>
                <c:pt idx="173">
                  <c:v>40.9</c:v>
                </c:pt>
                <c:pt idx="174">
                  <c:v>44.8</c:v>
                </c:pt>
                <c:pt idx="175">
                  <c:v>34.4</c:v>
                </c:pt>
                <c:pt idx="176">
                  <c:v>30.7</c:v>
                </c:pt>
                <c:pt idx="177">
                  <c:v>31</c:v>
                </c:pt>
                <c:pt idx="178">
                  <c:v>35</c:v>
                </c:pt>
                <c:pt idx="179">
                  <c:v>31.4</c:v>
                </c:pt>
                <c:pt idx="180">
                  <c:v>38.4</c:v>
                </c:pt>
                <c:pt idx="181">
                  <c:v>36.1</c:v>
                </c:pt>
                <c:pt idx="182">
                  <c:v>44.1</c:v>
                </c:pt>
                <c:pt idx="183">
                  <c:v>19.399999999999999</c:v>
                </c:pt>
                <c:pt idx="184">
                  <c:v>39.4</c:v>
                </c:pt>
                <c:pt idx="185">
                  <c:v>22.9</c:v>
                </c:pt>
                <c:pt idx="186">
                  <c:v>36.200000000000003</c:v>
                </c:pt>
                <c:pt idx="187">
                  <c:v>33.4</c:v>
                </c:pt>
                <c:pt idx="188">
                  <c:v>23.4</c:v>
                </c:pt>
                <c:pt idx="189">
                  <c:v>28</c:v>
                </c:pt>
                <c:pt idx="190">
                  <c:v>32.200000000000003</c:v>
                </c:pt>
                <c:pt idx="191">
                  <c:v>30.7</c:v>
                </c:pt>
                <c:pt idx="192">
                  <c:v>28.8</c:v>
                </c:pt>
                <c:pt idx="193">
                  <c:v>46.7</c:v>
                </c:pt>
                <c:pt idx="194">
                  <c:v>33.799999999999997</c:v>
                </c:pt>
                <c:pt idx="195">
                  <c:v>42.7</c:v>
                </c:pt>
                <c:pt idx="196">
                  <c:v>40.4</c:v>
                </c:pt>
                <c:pt idx="197">
                  <c:v>28.2</c:v>
                </c:pt>
                <c:pt idx="198">
                  <c:v>42</c:v>
                </c:pt>
                <c:pt idx="199">
                  <c:v>37.799999999999997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37-428F-B93C-208337BCF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8817103"/>
        <c:axId val="1578819023"/>
      </c:scatterChart>
      <c:valAx>
        <c:axId val="15788171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Horas Dormidas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8819023"/>
        <c:crosses val="autoZero"/>
        <c:crossBetween val="midCat"/>
      </c:valAx>
      <c:valAx>
        <c:axId val="157881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Notas das provas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88171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student_exam_scores!$F$1</c:f>
              <c:strCache>
                <c:ptCount val="1"/>
                <c:pt idx="0">
                  <c:v>exam_score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9307392825896764"/>
                  <c:y val="-0.1709441528142315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student_exam_scores!$D$2:$D$201</c:f>
              <c:numCache>
                <c:formatCode>#,##0.00</c:formatCode>
                <c:ptCount val="200"/>
                <c:pt idx="0">
                  <c:v>0.72099999999999997</c:v>
                </c:pt>
                <c:pt idx="1">
                  <c:v>0.60699999999999998</c:v>
                </c:pt>
                <c:pt idx="2">
                  <c:v>0.73699999999999999</c:v>
                </c:pt>
                <c:pt idx="3">
                  <c:v>0.95099999999999996</c:v>
                </c:pt>
                <c:pt idx="4">
                  <c:v>0.89800000000000002</c:v>
                </c:pt>
                <c:pt idx="5">
                  <c:v>0.58499999999999996</c:v>
                </c:pt>
                <c:pt idx="6">
                  <c:v>0.54200000000000004</c:v>
                </c:pt>
                <c:pt idx="7">
                  <c:v>0.75800000000000001</c:v>
                </c:pt>
                <c:pt idx="8">
                  <c:v>0.81599999999999995</c:v>
                </c:pt>
                <c:pt idx="9">
                  <c:v>0.66799999999999993</c:v>
                </c:pt>
                <c:pt idx="10">
                  <c:v>0.90900000000000003</c:v>
                </c:pt>
                <c:pt idx="11">
                  <c:v>0.87599999999999989</c:v>
                </c:pt>
                <c:pt idx="12">
                  <c:v>0.83599999999999997</c:v>
                </c:pt>
                <c:pt idx="13">
                  <c:v>0.61199999999999999</c:v>
                </c:pt>
                <c:pt idx="14">
                  <c:v>0.6</c:v>
                </c:pt>
                <c:pt idx="15">
                  <c:v>0.51200000000000001</c:v>
                </c:pt>
                <c:pt idx="16">
                  <c:v>0.622</c:v>
                </c:pt>
                <c:pt idx="17">
                  <c:v>0.73799999999999999</c:v>
                </c:pt>
                <c:pt idx="18">
                  <c:v>0.92500000000000004</c:v>
                </c:pt>
                <c:pt idx="19">
                  <c:v>0.53600000000000003</c:v>
                </c:pt>
                <c:pt idx="20">
                  <c:v>0.70700000000000007</c:v>
                </c:pt>
                <c:pt idx="21">
                  <c:v>0.81499999999999995</c:v>
                </c:pt>
                <c:pt idx="22">
                  <c:v>0.59699999999999998</c:v>
                </c:pt>
                <c:pt idx="23">
                  <c:v>0.84799999999999998</c:v>
                </c:pt>
                <c:pt idx="24">
                  <c:v>0.747</c:v>
                </c:pt>
                <c:pt idx="25">
                  <c:v>0.622</c:v>
                </c:pt>
                <c:pt idx="26">
                  <c:v>0.82799999999999996</c:v>
                </c:pt>
                <c:pt idx="27">
                  <c:v>0.503</c:v>
                </c:pt>
                <c:pt idx="28">
                  <c:v>0.875</c:v>
                </c:pt>
                <c:pt idx="29">
                  <c:v>0.88500000000000001</c:v>
                </c:pt>
                <c:pt idx="30">
                  <c:v>0.55299999999999994</c:v>
                </c:pt>
                <c:pt idx="31">
                  <c:v>0.71299999999999997</c:v>
                </c:pt>
                <c:pt idx="32">
                  <c:v>0.58799999999999997</c:v>
                </c:pt>
                <c:pt idx="33">
                  <c:v>0.97900000000000009</c:v>
                </c:pt>
                <c:pt idx="34">
                  <c:v>0.75900000000000001</c:v>
                </c:pt>
                <c:pt idx="35">
                  <c:v>0.52500000000000002</c:v>
                </c:pt>
                <c:pt idx="36">
                  <c:v>0.625</c:v>
                </c:pt>
                <c:pt idx="37">
                  <c:v>0.92400000000000004</c:v>
                </c:pt>
                <c:pt idx="38">
                  <c:v>0.72799999999999998</c:v>
                </c:pt>
                <c:pt idx="39">
                  <c:v>0.90099999999999991</c:v>
                </c:pt>
                <c:pt idx="40">
                  <c:v>0.83400000000000007</c:v>
                </c:pt>
                <c:pt idx="41">
                  <c:v>0.99400000000000011</c:v>
                </c:pt>
                <c:pt idx="42">
                  <c:v>0.79799999999999993</c:v>
                </c:pt>
                <c:pt idx="43">
                  <c:v>0.97499999999999998</c:v>
                </c:pt>
                <c:pt idx="44">
                  <c:v>0.94599999999999995</c:v>
                </c:pt>
                <c:pt idx="45">
                  <c:v>0.80599999999999994</c:v>
                </c:pt>
                <c:pt idx="46">
                  <c:v>0.86</c:v>
                </c:pt>
                <c:pt idx="47">
                  <c:v>0.752</c:v>
                </c:pt>
                <c:pt idx="48">
                  <c:v>0.91500000000000004</c:v>
                </c:pt>
                <c:pt idx="49">
                  <c:v>0.77400000000000002</c:v>
                </c:pt>
                <c:pt idx="50">
                  <c:v>0.94900000000000007</c:v>
                </c:pt>
                <c:pt idx="51">
                  <c:v>0.872</c:v>
                </c:pt>
                <c:pt idx="52">
                  <c:v>0.73699999999999999</c:v>
                </c:pt>
                <c:pt idx="53">
                  <c:v>0.63</c:v>
                </c:pt>
                <c:pt idx="54">
                  <c:v>0.624</c:v>
                </c:pt>
                <c:pt idx="55">
                  <c:v>0.81900000000000006</c:v>
                </c:pt>
                <c:pt idx="56">
                  <c:v>0.88300000000000001</c:v>
                </c:pt>
                <c:pt idx="57">
                  <c:v>0.7609999999999999</c:v>
                </c:pt>
                <c:pt idx="58">
                  <c:v>0.81299999999999994</c:v>
                </c:pt>
                <c:pt idx="59">
                  <c:v>0.63700000000000001</c:v>
                </c:pt>
                <c:pt idx="60">
                  <c:v>0.53900000000000003</c:v>
                </c:pt>
                <c:pt idx="61">
                  <c:v>0.64300000000000002</c:v>
                </c:pt>
                <c:pt idx="62">
                  <c:v>0.63600000000000001</c:v>
                </c:pt>
                <c:pt idx="63">
                  <c:v>0.66</c:v>
                </c:pt>
                <c:pt idx="64">
                  <c:v>0.77</c:v>
                </c:pt>
                <c:pt idx="65">
                  <c:v>0.56899999999999995</c:v>
                </c:pt>
                <c:pt idx="66">
                  <c:v>0.61599999999999999</c:v>
                </c:pt>
                <c:pt idx="67">
                  <c:v>0.84699999999999998</c:v>
                </c:pt>
                <c:pt idx="68">
                  <c:v>0.85299999999999998</c:v>
                </c:pt>
                <c:pt idx="69">
                  <c:v>0.53200000000000003</c:v>
                </c:pt>
                <c:pt idx="70">
                  <c:v>0.70400000000000007</c:v>
                </c:pt>
                <c:pt idx="71">
                  <c:v>0.77099999999999991</c:v>
                </c:pt>
                <c:pt idx="72">
                  <c:v>0.70799999999999996</c:v>
                </c:pt>
                <c:pt idx="73">
                  <c:v>0.60299999999999998</c:v>
                </c:pt>
                <c:pt idx="74">
                  <c:v>0.71</c:v>
                </c:pt>
                <c:pt idx="75">
                  <c:v>0.95200000000000007</c:v>
                </c:pt>
                <c:pt idx="76">
                  <c:v>0.79200000000000004</c:v>
                </c:pt>
                <c:pt idx="77">
                  <c:v>0.84799999999999998</c:v>
                </c:pt>
                <c:pt idx="78">
                  <c:v>0.92799999999999994</c:v>
                </c:pt>
                <c:pt idx="79">
                  <c:v>0.88300000000000001</c:v>
                </c:pt>
                <c:pt idx="80">
                  <c:v>0.69</c:v>
                </c:pt>
                <c:pt idx="81">
                  <c:v>0.503</c:v>
                </c:pt>
                <c:pt idx="82">
                  <c:v>0.67599999999999993</c:v>
                </c:pt>
                <c:pt idx="83">
                  <c:v>0.877</c:v>
                </c:pt>
                <c:pt idx="84">
                  <c:v>0.92700000000000005</c:v>
                </c:pt>
                <c:pt idx="85">
                  <c:v>0.97699999999999998</c:v>
                </c:pt>
                <c:pt idx="86">
                  <c:v>0.71</c:v>
                </c:pt>
                <c:pt idx="87">
                  <c:v>0.87400000000000011</c:v>
                </c:pt>
                <c:pt idx="88">
                  <c:v>0.77300000000000002</c:v>
                </c:pt>
                <c:pt idx="89">
                  <c:v>0.80200000000000005</c:v>
                </c:pt>
                <c:pt idx="90">
                  <c:v>0.61</c:v>
                </c:pt>
                <c:pt idx="91">
                  <c:v>0.61</c:v>
                </c:pt>
                <c:pt idx="92">
                  <c:v>0.71799999999999997</c:v>
                </c:pt>
                <c:pt idx="93">
                  <c:v>0.51500000000000001</c:v>
                </c:pt>
                <c:pt idx="94">
                  <c:v>0.66799999999999993</c:v>
                </c:pt>
                <c:pt idx="95">
                  <c:v>0.84</c:v>
                </c:pt>
                <c:pt idx="96">
                  <c:v>0.70200000000000007</c:v>
                </c:pt>
                <c:pt idx="97">
                  <c:v>0.58299999999999996</c:v>
                </c:pt>
                <c:pt idx="98">
                  <c:v>0.7340000000000001</c:v>
                </c:pt>
                <c:pt idx="99">
                  <c:v>0.56399999999999995</c:v>
                </c:pt>
                <c:pt idx="100">
                  <c:v>0.81099999999999994</c:v>
                </c:pt>
                <c:pt idx="101">
                  <c:v>0.51300000000000001</c:v>
                </c:pt>
                <c:pt idx="102">
                  <c:v>0.69700000000000006</c:v>
                </c:pt>
                <c:pt idx="103">
                  <c:v>0.78200000000000003</c:v>
                </c:pt>
                <c:pt idx="104">
                  <c:v>0.51400000000000001</c:v>
                </c:pt>
                <c:pt idx="105">
                  <c:v>0.82099999999999995</c:v>
                </c:pt>
                <c:pt idx="106">
                  <c:v>0.56799999999999995</c:v>
                </c:pt>
                <c:pt idx="107">
                  <c:v>0.73099999999999998</c:v>
                </c:pt>
                <c:pt idx="108">
                  <c:v>0.52500000000000002</c:v>
                </c:pt>
                <c:pt idx="109">
                  <c:v>0.69</c:v>
                </c:pt>
                <c:pt idx="110">
                  <c:v>0.60599999999999998</c:v>
                </c:pt>
                <c:pt idx="111">
                  <c:v>0.66299999999999992</c:v>
                </c:pt>
                <c:pt idx="112">
                  <c:v>0.88099999999999989</c:v>
                </c:pt>
                <c:pt idx="113">
                  <c:v>0.69</c:v>
                </c:pt>
                <c:pt idx="114">
                  <c:v>0.87599999999999989</c:v>
                </c:pt>
                <c:pt idx="115">
                  <c:v>0.91599999999999993</c:v>
                </c:pt>
                <c:pt idx="116">
                  <c:v>0.626</c:v>
                </c:pt>
                <c:pt idx="117">
                  <c:v>0.54100000000000004</c:v>
                </c:pt>
                <c:pt idx="118">
                  <c:v>0.51</c:v>
                </c:pt>
                <c:pt idx="119">
                  <c:v>0.77</c:v>
                </c:pt>
                <c:pt idx="120">
                  <c:v>1</c:v>
                </c:pt>
                <c:pt idx="121">
                  <c:v>0.67500000000000004</c:v>
                </c:pt>
                <c:pt idx="122">
                  <c:v>0.82499999999999996</c:v>
                </c:pt>
                <c:pt idx="123">
                  <c:v>0.8909999999999999</c:v>
                </c:pt>
                <c:pt idx="124">
                  <c:v>0.82599999999999996</c:v>
                </c:pt>
                <c:pt idx="125">
                  <c:v>0.877</c:v>
                </c:pt>
                <c:pt idx="126">
                  <c:v>0.97499999999999998</c:v>
                </c:pt>
                <c:pt idx="127">
                  <c:v>0.6</c:v>
                </c:pt>
                <c:pt idx="128">
                  <c:v>0.51</c:v>
                </c:pt>
                <c:pt idx="129">
                  <c:v>0.57600000000000007</c:v>
                </c:pt>
                <c:pt idx="130">
                  <c:v>0.56299999999999994</c:v>
                </c:pt>
                <c:pt idx="131">
                  <c:v>0.83499999999999996</c:v>
                </c:pt>
                <c:pt idx="132">
                  <c:v>0.78200000000000003</c:v>
                </c:pt>
                <c:pt idx="133">
                  <c:v>0.60899999999999999</c:v>
                </c:pt>
                <c:pt idx="134">
                  <c:v>0.85</c:v>
                </c:pt>
                <c:pt idx="135">
                  <c:v>0.88300000000000001</c:v>
                </c:pt>
                <c:pt idx="136">
                  <c:v>0.58399999999999996</c:v>
                </c:pt>
                <c:pt idx="137">
                  <c:v>0.80400000000000005</c:v>
                </c:pt>
                <c:pt idx="138">
                  <c:v>0.87400000000000011</c:v>
                </c:pt>
                <c:pt idx="139">
                  <c:v>0.55700000000000005</c:v>
                </c:pt>
                <c:pt idx="140">
                  <c:v>0.91</c:v>
                </c:pt>
                <c:pt idx="141">
                  <c:v>0.98199999999999998</c:v>
                </c:pt>
                <c:pt idx="142">
                  <c:v>0.55399999999999994</c:v>
                </c:pt>
                <c:pt idx="143">
                  <c:v>0.51300000000000001</c:v>
                </c:pt>
                <c:pt idx="144">
                  <c:v>0.65599999999999992</c:v>
                </c:pt>
                <c:pt idx="145">
                  <c:v>0.83900000000000008</c:v>
                </c:pt>
                <c:pt idx="146">
                  <c:v>0.97900000000000009</c:v>
                </c:pt>
                <c:pt idx="147">
                  <c:v>0.69799999999999995</c:v>
                </c:pt>
                <c:pt idx="148">
                  <c:v>0.85799999999999998</c:v>
                </c:pt>
                <c:pt idx="149">
                  <c:v>0.53799999999999992</c:v>
                </c:pt>
                <c:pt idx="150">
                  <c:v>0.84499999999999997</c:v>
                </c:pt>
                <c:pt idx="151">
                  <c:v>0.81400000000000006</c:v>
                </c:pt>
                <c:pt idx="152">
                  <c:v>0.55100000000000005</c:v>
                </c:pt>
                <c:pt idx="153">
                  <c:v>0.8859999999999999</c:v>
                </c:pt>
                <c:pt idx="154">
                  <c:v>0.92500000000000004</c:v>
                </c:pt>
                <c:pt idx="155">
                  <c:v>0.8</c:v>
                </c:pt>
                <c:pt idx="156">
                  <c:v>0.56100000000000005</c:v>
                </c:pt>
                <c:pt idx="157">
                  <c:v>0.99199999999999999</c:v>
                </c:pt>
                <c:pt idx="158">
                  <c:v>0.8909999999999999</c:v>
                </c:pt>
                <c:pt idx="159">
                  <c:v>0.67400000000000004</c:v>
                </c:pt>
                <c:pt idx="160">
                  <c:v>0.71400000000000008</c:v>
                </c:pt>
                <c:pt idx="161">
                  <c:v>0.68500000000000005</c:v>
                </c:pt>
                <c:pt idx="162">
                  <c:v>0.753</c:v>
                </c:pt>
                <c:pt idx="163">
                  <c:v>0.67099999999999993</c:v>
                </c:pt>
                <c:pt idx="164">
                  <c:v>0.92500000000000004</c:v>
                </c:pt>
                <c:pt idx="165">
                  <c:v>0.91099999999999992</c:v>
                </c:pt>
                <c:pt idx="166">
                  <c:v>0.55299999999999994</c:v>
                </c:pt>
                <c:pt idx="167">
                  <c:v>0.98</c:v>
                </c:pt>
                <c:pt idx="168">
                  <c:v>0.81799999999999995</c:v>
                </c:pt>
                <c:pt idx="169">
                  <c:v>0.91400000000000003</c:v>
                </c:pt>
                <c:pt idx="170">
                  <c:v>0.85400000000000009</c:v>
                </c:pt>
                <c:pt idx="171">
                  <c:v>0.71799999999999997</c:v>
                </c:pt>
                <c:pt idx="172">
                  <c:v>0.86699999999999999</c:v>
                </c:pt>
                <c:pt idx="173">
                  <c:v>0.98299999999999998</c:v>
                </c:pt>
                <c:pt idx="174">
                  <c:v>0.63500000000000001</c:v>
                </c:pt>
                <c:pt idx="175">
                  <c:v>0.90400000000000003</c:v>
                </c:pt>
                <c:pt idx="176">
                  <c:v>0.76900000000000002</c:v>
                </c:pt>
                <c:pt idx="177">
                  <c:v>0.74199999999999999</c:v>
                </c:pt>
                <c:pt idx="178">
                  <c:v>0.71799999999999997</c:v>
                </c:pt>
                <c:pt idx="179">
                  <c:v>0.86599999999999999</c:v>
                </c:pt>
                <c:pt idx="180">
                  <c:v>0.63400000000000001</c:v>
                </c:pt>
                <c:pt idx="181">
                  <c:v>0.92599999999999993</c:v>
                </c:pt>
                <c:pt idx="182">
                  <c:v>0.91500000000000004</c:v>
                </c:pt>
                <c:pt idx="183">
                  <c:v>0.54299999999999993</c:v>
                </c:pt>
                <c:pt idx="184">
                  <c:v>0.94099999999999995</c:v>
                </c:pt>
                <c:pt idx="185">
                  <c:v>0.622</c:v>
                </c:pt>
                <c:pt idx="186">
                  <c:v>0.73199999999999998</c:v>
                </c:pt>
                <c:pt idx="187">
                  <c:v>0.80500000000000005</c:v>
                </c:pt>
                <c:pt idx="188">
                  <c:v>0.68900000000000006</c:v>
                </c:pt>
                <c:pt idx="189">
                  <c:v>0.51400000000000001</c:v>
                </c:pt>
                <c:pt idx="190">
                  <c:v>0.92500000000000004</c:v>
                </c:pt>
                <c:pt idx="191">
                  <c:v>0.59099999999999997</c:v>
                </c:pt>
                <c:pt idx="192">
                  <c:v>0.60599999999999998</c:v>
                </c:pt>
                <c:pt idx="193">
                  <c:v>0.89900000000000002</c:v>
                </c:pt>
                <c:pt idx="194">
                  <c:v>0.67</c:v>
                </c:pt>
                <c:pt idx="195">
                  <c:v>0.94</c:v>
                </c:pt>
                <c:pt idx="196">
                  <c:v>0.85099999999999998</c:v>
                </c:pt>
                <c:pt idx="197">
                  <c:v>0.63800000000000001</c:v>
                </c:pt>
                <c:pt idx="198">
                  <c:v>0.505</c:v>
                </c:pt>
                <c:pt idx="199">
                  <c:v>0.97400000000000009</c:v>
                </c:pt>
              </c:numCache>
            </c:numRef>
          </c:xVal>
          <c:yVal>
            <c:numRef>
              <c:f>student_exam_scores!$F$2:$F$201</c:f>
              <c:numCache>
                <c:formatCode>0.00</c:formatCode>
                <c:ptCount val="200"/>
                <c:pt idx="0">
                  <c:v>30.2</c:v>
                </c:pt>
                <c:pt idx="1">
                  <c:v>25</c:v>
                </c:pt>
                <c:pt idx="2">
                  <c:v>35.799999999999997</c:v>
                </c:pt>
                <c:pt idx="3">
                  <c:v>34</c:v>
                </c:pt>
                <c:pt idx="4">
                  <c:v>40.299999999999997</c:v>
                </c:pt>
                <c:pt idx="5">
                  <c:v>35.700000000000003</c:v>
                </c:pt>
                <c:pt idx="6">
                  <c:v>37.9</c:v>
                </c:pt>
                <c:pt idx="7">
                  <c:v>18.3</c:v>
                </c:pt>
                <c:pt idx="8">
                  <c:v>34.700000000000003</c:v>
                </c:pt>
                <c:pt idx="9">
                  <c:v>24.7</c:v>
                </c:pt>
                <c:pt idx="10">
                  <c:v>29.3</c:v>
                </c:pt>
                <c:pt idx="11">
                  <c:v>35.1</c:v>
                </c:pt>
                <c:pt idx="12">
                  <c:v>31.2</c:v>
                </c:pt>
                <c:pt idx="13">
                  <c:v>30.2</c:v>
                </c:pt>
                <c:pt idx="14">
                  <c:v>41.1</c:v>
                </c:pt>
                <c:pt idx="15">
                  <c:v>34.1</c:v>
                </c:pt>
                <c:pt idx="16">
                  <c:v>28.9</c:v>
                </c:pt>
                <c:pt idx="17">
                  <c:v>36.299999999999997</c:v>
                </c:pt>
                <c:pt idx="18">
                  <c:v>35.6</c:v>
                </c:pt>
                <c:pt idx="19">
                  <c:v>17.100000000000001</c:v>
                </c:pt>
                <c:pt idx="20">
                  <c:v>46</c:v>
                </c:pt>
                <c:pt idx="21">
                  <c:v>36.1</c:v>
                </c:pt>
                <c:pt idx="22">
                  <c:v>29.6</c:v>
                </c:pt>
                <c:pt idx="23">
                  <c:v>35.9</c:v>
                </c:pt>
                <c:pt idx="24">
                  <c:v>39.200000000000003</c:v>
                </c:pt>
                <c:pt idx="25">
                  <c:v>30</c:v>
                </c:pt>
                <c:pt idx="26">
                  <c:v>29</c:v>
                </c:pt>
                <c:pt idx="27">
                  <c:v>26.5</c:v>
                </c:pt>
                <c:pt idx="28">
                  <c:v>37.200000000000003</c:v>
                </c:pt>
                <c:pt idx="29">
                  <c:v>36.200000000000003</c:v>
                </c:pt>
                <c:pt idx="30">
                  <c:v>34.5</c:v>
                </c:pt>
                <c:pt idx="31">
                  <c:v>41.6</c:v>
                </c:pt>
                <c:pt idx="32">
                  <c:v>38.1</c:v>
                </c:pt>
                <c:pt idx="33">
                  <c:v>42.7</c:v>
                </c:pt>
                <c:pt idx="34">
                  <c:v>32</c:v>
                </c:pt>
                <c:pt idx="35">
                  <c:v>32</c:v>
                </c:pt>
                <c:pt idx="36">
                  <c:v>44.7</c:v>
                </c:pt>
                <c:pt idx="37">
                  <c:v>38.299999999999997</c:v>
                </c:pt>
                <c:pt idx="38">
                  <c:v>39.799999999999997</c:v>
                </c:pt>
                <c:pt idx="39">
                  <c:v>35</c:v>
                </c:pt>
                <c:pt idx="40">
                  <c:v>34.200000000000003</c:v>
                </c:pt>
                <c:pt idx="41">
                  <c:v>23.1</c:v>
                </c:pt>
                <c:pt idx="42">
                  <c:v>37.200000000000003</c:v>
                </c:pt>
                <c:pt idx="43">
                  <c:v>30.3</c:v>
                </c:pt>
                <c:pt idx="44">
                  <c:v>26.1</c:v>
                </c:pt>
                <c:pt idx="45">
                  <c:v>31.8</c:v>
                </c:pt>
                <c:pt idx="46">
                  <c:v>31.6</c:v>
                </c:pt>
                <c:pt idx="47">
                  <c:v>31.1</c:v>
                </c:pt>
                <c:pt idx="48">
                  <c:v>41.2</c:v>
                </c:pt>
                <c:pt idx="49">
                  <c:v>30.6</c:v>
                </c:pt>
                <c:pt idx="50">
                  <c:v>28.8</c:v>
                </c:pt>
                <c:pt idx="51">
                  <c:v>30.7</c:v>
                </c:pt>
                <c:pt idx="52">
                  <c:v>26.9</c:v>
                </c:pt>
                <c:pt idx="53">
                  <c:v>46.4</c:v>
                </c:pt>
                <c:pt idx="54">
                  <c:v>34.4</c:v>
                </c:pt>
                <c:pt idx="55">
                  <c:v>37</c:v>
                </c:pt>
                <c:pt idx="56">
                  <c:v>35.200000000000003</c:v>
                </c:pt>
                <c:pt idx="57">
                  <c:v>38.200000000000003</c:v>
                </c:pt>
                <c:pt idx="58">
                  <c:v>33</c:v>
                </c:pt>
                <c:pt idx="59">
                  <c:v>29.2</c:v>
                </c:pt>
                <c:pt idx="60">
                  <c:v>48.6</c:v>
                </c:pt>
                <c:pt idx="61">
                  <c:v>36.1</c:v>
                </c:pt>
                <c:pt idx="62">
                  <c:v>27.1</c:v>
                </c:pt>
                <c:pt idx="63">
                  <c:v>36.1</c:v>
                </c:pt>
                <c:pt idx="64">
                  <c:v>39.5</c:v>
                </c:pt>
                <c:pt idx="65">
                  <c:v>36.700000000000003</c:v>
                </c:pt>
                <c:pt idx="66">
                  <c:v>21.7</c:v>
                </c:pt>
                <c:pt idx="67">
                  <c:v>32.200000000000003</c:v>
                </c:pt>
                <c:pt idx="68">
                  <c:v>33.5</c:v>
                </c:pt>
                <c:pt idx="69">
                  <c:v>23.9</c:v>
                </c:pt>
                <c:pt idx="70">
                  <c:v>20.8</c:v>
                </c:pt>
                <c:pt idx="71">
                  <c:v>47.9</c:v>
                </c:pt>
                <c:pt idx="72">
                  <c:v>41.9</c:v>
                </c:pt>
                <c:pt idx="73">
                  <c:v>29.5</c:v>
                </c:pt>
                <c:pt idx="74">
                  <c:v>33.5</c:v>
                </c:pt>
                <c:pt idx="75">
                  <c:v>26.3</c:v>
                </c:pt>
                <c:pt idx="76">
                  <c:v>39.9</c:v>
                </c:pt>
                <c:pt idx="77">
                  <c:v>40.299999999999997</c:v>
                </c:pt>
                <c:pt idx="78">
                  <c:v>26.5</c:v>
                </c:pt>
                <c:pt idx="79">
                  <c:v>34.200000000000003</c:v>
                </c:pt>
                <c:pt idx="80">
                  <c:v>30.8</c:v>
                </c:pt>
                <c:pt idx="81">
                  <c:v>32.4</c:v>
                </c:pt>
                <c:pt idx="82">
                  <c:v>39.799999999999997</c:v>
                </c:pt>
                <c:pt idx="83">
                  <c:v>48.9</c:v>
                </c:pt>
                <c:pt idx="84">
                  <c:v>38</c:v>
                </c:pt>
                <c:pt idx="85">
                  <c:v>26.5</c:v>
                </c:pt>
                <c:pt idx="86">
                  <c:v>51.3</c:v>
                </c:pt>
                <c:pt idx="87">
                  <c:v>28.6</c:v>
                </c:pt>
                <c:pt idx="88">
                  <c:v>32.1</c:v>
                </c:pt>
                <c:pt idx="89">
                  <c:v>23.9</c:v>
                </c:pt>
                <c:pt idx="90">
                  <c:v>27.3</c:v>
                </c:pt>
                <c:pt idx="91">
                  <c:v>34</c:v>
                </c:pt>
                <c:pt idx="92">
                  <c:v>37.5</c:v>
                </c:pt>
                <c:pt idx="93">
                  <c:v>29.1</c:v>
                </c:pt>
                <c:pt idx="94">
                  <c:v>28.1</c:v>
                </c:pt>
                <c:pt idx="95">
                  <c:v>28.7</c:v>
                </c:pt>
                <c:pt idx="96">
                  <c:v>36.9</c:v>
                </c:pt>
                <c:pt idx="97">
                  <c:v>36</c:v>
                </c:pt>
                <c:pt idx="98">
                  <c:v>39.9</c:v>
                </c:pt>
                <c:pt idx="99">
                  <c:v>37.1</c:v>
                </c:pt>
                <c:pt idx="100">
                  <c:v>31.4</c:v>
                </c:pt>
                <c:pt idx="101">
                  <c:v>31.3</c:v>
                </c:pt>
                <c:pt idx="102">
                  <c:v>35.700000000000003</c:v>
                </c:pt>
                <c:pt idx="103">
                  <c:v>32.6</c:v>
                </c:pt>
                <c:pt idx="104">
                  <c:v>24.1</c:v>
                </c:pt>
                <c:pt idx="105">
                  <c:v>38.200000000000003</c:v>
                </c:pt>
                <c:pt idx="106">
                  <c:v>23.7</c:v>
                </c:pt>
                <c:pt idx="107">
                  <c:v>39.200000000000003</c:v>
                </c:pt>
                <c:pt idx="108">
                  <c:v>23.2</c:v>
                </c:pt>
                <c:pt idx="109">
                  <c:v>42.2</c:v>
                </c:pt>
                <c:pt idx="110">
                  <c:v>39.6</c:v>
                </c:pt>
                <c:pt idx="111">
                  <c:v>34.799999999999997</c:v>
                </c:pt>
                <c:pt idx="112">
                  <c:v>34.6</c:v>
                </c:pt>
                <c:pt idx="113">
                  <c:v>26.4</c:v>
                </c:pt>
                <c:pt idx="114">
                  <c:v>43.1</c:v>
                </c:pt>
                <c:pt idx="115">
                  <c:v>46.4</c:v>
                </c:pt>
                <c:pt idx="116">
                  <c:v>25.2</c:v>
                </c:pt>
                <c:pt idx="117">
                  <c:v>31.3</c:v>
                </c:pt>
                <c:pt idx="118">
                  <c:v>35.799999999999997</c:v>
                </c:pt>
                <c:pt idx="119">
                  <c:v>29.8</c:v>
                </c:pt>
                <c:pt idx="120">
                  <c:v>47.9</c:v>
                </c:pt>
                <c:pt idx="121">
                  <c:v>40.9</c:v>
                </c:pt>
                <c:pt idx="122">
                  <c:v>44.1</c:v>
                </c:pt>
                <c:pt idx="123">
                  <c:v>39.299999999999997</c:v>
                </c:pt>
                <c:pt idx="124">
                  <c:v>21.2</c:v>
                </c:pt>
                <c:pt idx="125">
                  <c:v>38.6</c:v>
                </c:pt>
                <c:pt idx="126">
                  <c:v>26.8</c:v>
                </c:pt>
                <c:pt idx="127">
                  <c:v>42.7</c:v>
                </c:pt>
                <c:pt idx="128">
                  <c:v>36.1</c:v>
                </c:pt>
                <c:pt idx="129">
                  <c:v>39.200000000000003</c:v>
                </c:pt>
                <c:pt idx="130">
                  <c:v>32.9</c:v>
                </c:pt>
                <c:pt idx="131">
                  <c:v>28.8</c:v>
                </c:pt>
                <c:pt idx="132">
                  <c:v>45.7</c:v>
                </c:pt>
                <c:pt idx="133">
                  <c:v>40.799999999999997</c:v>
                </c:pt>
                <c:pt idx="134">
                  <c:v>30.6</c:v>
                </c:pt>
                <c:pt idx="135">
                  <c:v>41.1</c:v>
                </c:pt>
                <c:pt idx="136">
                  <c:v>29</c:v>
                </c:pt>
                <c:pt idx="137">
                  <c:v>35.1</c:v>
                </c:pt>
                <c:pt idx="138">
                  <c:v>39.9</c:v>
                </c:pt>
                <c:pt idx="139">
                  <c:v>29.9</c:v>
                </c:pt>
                <c:pt idx="140">
                  <c:v>35</c:v>
                </c:pt>
                <c:pt idx="141">
                  <c:v>43.3</c:v>
                </c:pt>
                <c:pt idx="142">
                  <c:v>19</c:v>
                </c:pt>
                <c:pt idx="143">
                  <c:v>35.1</c:v>
                </c:pt>
                <c:pt idx="144">
                  <c:v>29.9</c:v>
                </c:pt>
                <c:pt idx="145">
                  <c:v>33</c:v>
                </c:pt>
                <c:pt idx="146">
                  <c:v>45.8</c:v>
                </c:pt>
                <c:pt idx="147">
                  <c:v>35.5</c:v>
                </c:pt>
                <c:pt idx="148">
                  <c:v>26.4</c:v>
                </c:pt>
                <c:pt idx="149">
                  <c:v>21.9</c:v>
                </c:pt>
                <c:pt idx="150">
                  <c:v>44.1</c:v>
                </c:pt>
                <c:pt idx="151">
                  <c:v>42.3</c:v>
                </c:pt>
                <c:pt idx="152">
                  <c:v>27.7</c:v>
                </c:pt>
                <c:pt idx="153">
                  <c:v>33.4</c:v>
                </c:pt>
                <c:pt idx="154">
                  <c:v>29.7</c:v>
                </c:pt>
                <c:pt idx="155">
                  <c:v>23.6</c:v>
                </c:pt>
                <c:pt idx="156">
                  <c:v>33.6</c:v>
                </c:pt>
                <c:pt idx="157">
                  <c:v>37.9</c:v>
                </c:pt>
                <c:pt idx="158">
                  <c:v>29.5</c:v>
                </c:pt>
                <c:pt idx="159">
                  <c:v>24.7</c:v>
                </c:pt>
                <c:pt idx="160">
                  <c:v>25.2</c:v>
                </c:pt>
                <c:pt idx="161">
                  <c:v>31.4</c:v>
                </c:pt>
                <c:pt idx="162">
                  <c:v>30</c:v>
                </c:pt>
                <c:pt idx="163">
                  <c:v>35.799999999999997</c:v>
                </c:pt>
                <c:pt idx="164">
                  <c:v>40.6</c:v>
                </c:pt>
                <c:pt idx="165">
                  <c:v>30.1</c:v>
                </c:pt>
                <c:pt idx="166">
                  <c:v>30.3</c:v>
                </c:pt>
                <c:pt idx="167">
                  <c:v>42</c:v>
                </c:pt>
                <c:pt idx="168">
                  <c:v>32.1</c:v>
                </c:pt>
                <c:pt idx="169">
                  <c:v>22.8</c:v>
                </c:pt>
                <c:pt idx="170">
                  <c:v>45.3</c:v>
                </c:pt>
                <c:pt idx="171">
                  <c:v>31</c:v>
                </c:pt>
                <c:pt idx="172">
                  <c:v>31</c:v>
                </c:pt>
                <c:pt idx="173">
                  <c:v>40.9</c:v>
                </c:pt>
                <c:pt idx="174">
                  <c:v>44.8</c:v>
                </c:pt>
                <c:pt idx="175">
                  <c:v>34.4</c:v>
                </c:pt>
                <c:pt idx="176">
                  <c:v>30.7</c:v>
                </c:pt>
                <c:pt idx="177">
                  <c:v>31</c:v>
                </c:pt>
                <c:pt idx="178">
                  <c:v>35</c:v>
                </c:pt>
                <c:pt idx="179">
                  <c:v>31.4</c:v>
                </c:pt>
                <c:pt idx="180">
                  <c:v>38.4</c:v>
                </c:pt>
                <c:pt idx="181">
                  <c:v>36.1</c:v>
                </c:pt>
                <c:pt idx="182">
                  <c:v>44.1</c:v>
                </c:pt>
                <c:pt idx="183">
                  <c:v>19.399999999999999</c:v>
                </c:pt>
                <c:pt idx="184">
                  <c:v>39.4</c:v>
                </c:pt>
                <c:pt idx="185">
                  <c:v>22.9</c:v>
                </c:pt>
                <c:pt idx="186">
                  <c:v>36.200000000000003</c:v>
                </c:pt>
                <c:pt idx="187">
                  <c:v>33.4</c:v>
                </c:pt>
                <c:pt idx="188">
                  <c:v>23.4</c:v>
                </c:pt>
                <c:pt idx="189">
                  <c:v>28</c:v>
                </c:pt>
                <c:pt idx="190">
                  <c:v>32.200000000000003</c:v>
                </c:pt>
                <c:pt idx="191">
                  <c:v>30.7</c:v>
                </c:pt>
                <c:pt idx="192">
                  <c:v>28.8</c:v>
                </c:pt>
                <c:pt idx="193">
                  <c:v>46.7</c:v>
                </c:pt>
                <c:pt idx="194">
                  <c:v>33.799999999999997</c:v>
                </c:pt>
                <c:pt idx="195">
                  <c:v>42.7</c:v>
                </c:pt>
                <c:pt idx="196">
                  <c:v>40.4</c:v>
                </c:pt>
                <c:pt idx="197">
                  <c:v>28.2</c:v>
                </c:pt>
                <c:pt idx="198">
                  <c:v>42</c:v>
                </c:pt>
                <c:pt idx="199">
                  <c:v>37.799999999999997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5B-4762-827E-9716B4BBCF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954783"/>
        <c:axId val="1683954303"/>
      </c:scatterChart>
      <c:valAx>
        <c:axId val="16839547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Frequencia dos alunos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3954303"/>
        <c:crosses val="autoZero"/>
        <c:crossBetween val="midCat"/>
      </c:valAx>
      <c:valAx>
        <c:axId val="1683954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Nota das provas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39547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Hours Studied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Hours Studied</a:t>
          </a:r>
        </a:p>
      </cx:txPr>
    </cx:title>
    <cx:plotArea>
      <cx:plotAreaRegion>
        <cx:series layoutId="boxWhisker" uniqueId="{F2C78FCA-A39E-4DAE-B92B-501AFE38925B}">
          <cx:tx>
            <cx:txData>
              <cx:f>_xlchart.v1.2</cx:f>
              <cx:v>hours_studied</cx:v>
            </cx:txData>
          </cx:tx>
          <cx:spPr>
            <a:solidFill>
              <a:schemeClr val="accent5">
                <a:lumMod val="20000"/>
                <a:lumOff val="80000"/>
              </a:schemeClr>
            </a:solidFill>
          </cx:spPr>
          <cx:dataLabels pos="r"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Hours Studied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Hours Studied</a:t>
          </a:r>
        </a:p>
      </cx:txPr>
    </cx:title>
    <cx:plotArea>
      <cx:plotAreaRegion>
        <cx:series layoutId="clusteredColumn" uniqueId="{30864554-7397-41D5-86F6-A14C7B4F61CA}">
          <cx:tx>
            <cx:txData>
              <cx:f>_xlchart.v1.6</cx:f>
              <cx:v>hours_studied</cx:v>
            </cx:txData>
          </cx:tx>
          <cx:dataLabels/>
          <cx:dataId val="0"/>
          <cx:layoutPr>
            <cx:binning intervalClosed="r"/>
          </cx:layoutPr>
        </cx:series>
      </cx:plotAreaRegion>
      <cx:axis id="0">
        <cx:catScaling gapWidth="0"/>
        <cx:tickLabels/>
        <cx:numFmt formatCode="0" sourceLinked="0"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Sleep hours	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Sleep hours	</a:t>
          </a:r>
        </a:p>
      </cx:txPr>
    </cx:title>
    <cx:plotArea>
      <cx:plotAreaRegion>
        <cx:series layoutId="clusteredColumn" uniqueId="{878A1915-181D-4493-B54A-DBFBEFEDA846}">
          <cx:tx>
            <cx:txData>
              <cx:f>_xlchart.v1.4</cx:f>
              <cx:v>sleep_hours</cx:v>
            </cx:txData>
          </cx:tx>
          <cx:dataLabels/>
          <cx:dataId val="0"/>
          <cx:layoutPr>
            <cx:binning intervalClosed="r"/>
          </cx:layoutPr>
        </cx:series>
      </cx:plotAreaRegion>
      <cx:axis id="0">
        <cx:catScaling gapWidth="0"/>
        <cx:tickLabels/>
        <cx:numFmt formatCode="0" sourceLinked="0"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>
      <cx:tx>
        <cx:txData>
          <cx:v>Sleep Hours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Sleep Hours</a:t>
          </a:r>
        </a:p>
      </cx:txPr>
    </cx:title>
    <cx:plotArea>
      <cx:plotAreaRegion>
        <cx:series layoutId="boxWhisker" uniqueId="{1DC4880B-CB83-4A79-A3A5-CDC241ACF159}">
          <cx:tx>
            <cx:txData>
              <cx:f>_xlchart.v1.8</cx:f>
              <cx:v>sleep_hours</cx:v>
            </cx:txData>
          </cx:tx>
          <cx:spPr>
            <a:solidFill>
              <a:schemeClr val="accent5">
                <a:lumMod val="20000"/>
                <a:lumOff val="80000"/>
              </a:schemeClr>
            </a:solidFill>
          </cx:spPr>
          <cx:dataLabels pos="r"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title pos="t" align="ctr" overlay="0">
      <cx:tx>
        <cx:txData>
          <cx:v>Porcentagem de frequencia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Porcentagem de frequencia</a:t>
          </a:r>
        </a:p>
      </cx:txPr>
    </cx:title>
    <cx:plotArea>
      <cx:plotAreaRegion>
        <cx:series layoutId="boxWhisker" uniqueId="{D8319E02-37EE-4C4C-93B0-77283AEB3930}">
          <cx:tx>
            <cx:txData>
              <cx:f>_xlchart.v1.10</cx:f>
              <cx:v>attendance_percent</cx:v>
            </cx:txData>
          </cx:tx>
          <cx:spPr>
            <a:solidFill>
              <a:schemeClr val="accent5">
                <a:lumMod val="20000"/>
                <a:lumOff val="80000"/>
              </a:schemeClr>
            </a:solidFill>
          </cx:spPr>
          <cx:dataLabels pos="r"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attendance_percent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attendance_percent</a:t>
          </a:r>
        </a:p>
      </cx:txPr>
    </cx:title>
    <cx:plotArea>
      <cx:plotAreaRegion>
        <cx:series layoutId="clusteredColumn" uniqueId="{70E0A244-4940-4FDD-87AE-5C50A0F1066A}">
          <cx:tx>
            <cx:txData>
              <cx:f>_xlchart.v1.0</cx:f>
              <cx:v>attendance_percent</cx:v>
            </cx:txData>
          </cx:tx>
          <cx:dataLabels/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microsoft.com/office/2014/relationships/chartEx" Target="../charts/chartEx6.xml"/><Relationship Id="rId5" Type="http://schemas.microsoft.com/office/2014/relationships/chartEx" Target="../charts/chartEx5.xml"/><Relationship Id="rId4" Type="http://schemas.microsoft.com/office/2014/relationships/chartEx" Target="../charts/chartEx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5080</xdr:colOff>
      <xdr:row>6</xdr:row>
      <xdr:rowOff>91671</xdr:rowOff>
    </xdr:from>
    <xdr:to>
      <xdr:col>15</xdr:col>
      <xdr:colOff>153939</xdr:colOff>
      <xdr:row>20</xdr:row>
      <xdr:rowOff>108373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A2813405-65DB-4838-8632-727E714F053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80810" y="1194031"/>
              <a:ext cx="2893329" cy="25986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3</xdr:col>
      <xdr:colOff>560646</xdr:colOff>
      <xdr:row>23</xdr:row>
      <xdr:rowOff>140777</xdr:rowOff>
    </xdr:from>
    <xdr:to>
      <xdr:col>11</xdr:col>
      <xdr:colOff>129077</xdr:colOff>
      <xdr:row>38</xdr:row>
      <xdr:rowOff>140777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187A9874-09C5-4ABC-BAD4-100C558C12A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08525" y="4345247"/>
              <a:ext cx="4571461" cy="27420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25</xdr:col>
      <xdr:colOff>905279</xdr:colOff>
      <xdr:row>18</xdr:row>
      <xdr:rowOff>78508</xdr:rowOff>
    </xdr:from>
    <xdr:to>
      <xdr:col>39</xdr:col>
      <xdr:colOff>265045</xdr:colOff>
      <xdr:row>33</xdr:row>
      <xdr:rowOff>78508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8073409E-C358-4424-B9A5-6998705C45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933612" y="3368963"/>
              <a:ext cx="4891963" cy="27420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21</xdr:col>
      <xdr:colOff>327660</xdr:colOff>
      <xdr:row>15</xdr:row>
      <xdr:rowOff>15240</xdr:rowOff>
    </xdr:from>
    <xdr:to>
      <xdr:col>25</xdr:col>
      <xdr:colOff>571500</xdr:colOff>
      <xdr:row>30</xdr:row>
      <xdr:rowOff>15240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B2F3DD8A-F161-4DD5-9D7F-526862A6755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07800" y="2774950"/>
              <a:ext cx="3949700" cy="2762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46</xdr:col>
      <xdr:colOff>83821</xdr:colOff>
      <xdr:row>4</xdr:row>
      <xdr:rowOff>129232</xdr:rowOff>
    </xdr:from>
    <xdr:to>
      <xdr:col>51</xdr:col>
      <xdr:colOff>538789</xdr:colOff>
      <xdr:row>16</xdr:row>
      <xdr:rowOff>121805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DE127BB2-84FF-4D2C-95E2-C188AFF49E7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175942" y="860444"/>
              <a:ext cx="3485650" cy="218620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46</xdr:col>
      <xdr:colOff>166102</xdr:colOff>
      <xdr:row>18</xdr:row>
      <xdr:rowOff>87861</xdr:rowOff>
    </xdr:from>
    <xdr:to>
      <xdr:col>53</xdr:col>
      <xdr:colOff>490067</xdr:colOff>
      <xdr:row>33</xdr:row>
      <xdr:rowOff>83936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BA6F6B6D-EDE2-4507-BC25-CD440DE4E8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258223" y="3378316"/>
              <a:ext cx="4566920" cy="27381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601980</xdr:colOff>
      <xdr:row>0</xdr:row>
      <xdr:rowOff>175260</xdr:rowOff>
    </xdr:from>
    <xdr:to>
      <xdr:col>10</xdr:col>
      <xdr:colOff>7620</xdr:colOff>
      <xdr:row>15</xdr:row>
      <xdr:rowOff>175260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D0CD732-24E8-43C8-9000-ED5DC254F6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594360</xdr:colOff>
      <xdr:row>16</xdr:row>
      <xdr:rowOff>160020</xdr:rowOff>
    </xdr:from>
    <xdr:to>
      <xdr:col>10</xdr:col>
      <xdr:colOff>15240</xdr:colOff>
      <xdr:row>31</xdr:row>
      <xdr:rowOff>160020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2E82232-7BA6-4359-A678-B6EBFBE317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320040</xdr:colOff>
      <xdr:row>0</xdr:row>
      <xdr:rowOff>175260</xdr:rowOff>
    </xdr:from>
    <xdr:to>
      <xdr:col>19</xdr:col>
      <xdr:colOff>579120</xdr:colOff>
      <xdr:row>15</xdr:row>
      <xdr:rowOff>175260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8FA9E66-8BC5-47BE-9708-0F761F3568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ger\AppData\Roaming\Microsoft\AddIns\XRealStats.xlam" TargetMode="External"/><Relationship Id="rId1" Type="http://schemas.openxmlformats.org/officeDocument/2006/relationships/externalLinkPath" Target="/Users/roger/AppData/Roaming/Microsoft/AddIns/XRealStats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fig"/>
      <sheetName val="Wilcoxon Table"/>
      <sheetName val="Mann Table"/>
      <sheetName val="Runs Table"/>
      <sheetName val="KS Table"/>
      <sheetName val="KS2 Table"/>
      <sheetName val="Lil Table"/>
      <sheetName val="AD Table"/>
      <sheetName val="AD2 Table"/>
      <sheetName val="SW Table"/>
      <sheetName val="Stud. Q Table"/>
      <sheetName val="Stud. Q Table 2"/>
      <sheetName val="Sp Rho Table"/>
      <sheetName val="Ken Tau Table"/>
      <sheetName val="Durbin Table"/>
      <sheetName val="Dunnett Table"/>
      <sheetName val="Dunnett 1"/>
      <sheetName val="Kendall Tc"/>
      <sheetName val="Kendall u"/>
      <sheetName val="Page Table"/>
      <sheetName val="Prime"/>
      <sheetName val="MSSD"/>
      <sheetName val="Dict"/>
      <sheetName val="ADict"/>
      <sheetName val="L4 2"/>
      <sheetName val="L8 2"/>
      <sheetName val="L8 42"/>
      <sheetName val="L9 3"/>
      <sheetName val="L12 2"/>
      <sheetName val="L16 2"/>
      <sheetName val="L16 4"/>
      <sheetName val="L16 42a"/>
      <sheetName val="L18 23"/>
      <sheetName val="L18 63"/>
      <sheetName val="L25 5"/>
      <sheetName val="L27 3"/>
      <sheetName val="L32 2"/>
      <sheetName val="L32 24"/>
      <sheetName val="L36 23a"/>
      <sheetName val="L36 23b"/>
      <sheetName val="L50 25"/>
      <sheetName val="L54 23"/>
      <sheetName val="L64 4"/>
      <sheetName val="T2"/>
      <sheetName val="T3"/>
      <sheetName val="T4"/>
    </sheetNames>
    <definedNames>
      <definedName name="DEsign"/>
      <definedName name="RegCoeff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ger Walter" refreshedDate="45927.551689814813" createdVersion="8" refreshedVersion="8" minRefreshableVersion="3" recordCount="200" xr:uid="{1C99E44E-1910-469B-B829-9CBED6A38D3B}">
  <cacheSource type="worksheet">
    <worksheetSource ref="A1:F201" sheet="student_exam_scores"/>
  </cacheSource>
  <cacheFields count="6">
    <cacheField name="student_id" numFmtId="0">
      <sharedItems count="200">
        <s v="S001"/>
        <s v="S002"/>
        <s v="S003"/>
        <s v="S004"/>
        <s v="S005"/>
        <s v="S006"/>
        <s v="S007"/>
        <s v="S008"/>
        <s v="S009"/>
        <s v="S010"/>
        <s v="S011"/>
        <s v="S012"/>
        <s v="S013"/>
        <s v="S014"/>
        <s v="S015"/>
        <s v="S016"/>
        <s v="S017"/>
        <s v="S018"/>
        <s v="S019"/>
        <s v="S020"/>
        <s v="S021"/>
        <s v="S022"/>
        <s v="S023"/>
        <s v="S024"/>
        <s v="S025"/>
        <s v="S026"/>
        <s v="S027"/>
        <s v="S028"/>
        <s v="S029"/>
        <s v="S030"/>
        <s v="S031"/>
        <s v="S032"/>
        <s v="S033"/>
        <s v="S034"/>
        <s v="S035"/>
        <s v="S036"/>
        <s v="S037"/>
        <s v="S038"/>
        <s v="S039"/>
        <s v="S040"/>
        <s v="S041"/>
        <s v="S042"/>
        <s v="S043"/>
        <s v="S044"/>
        <s v="S045"/>
        <s v="S046"/>
        <s v="S047"/>
        <s v="S048"/>
        <s v="S049"/>
        <s v="S050"/>
        <s v="S051"/>
        <s v="S052"/>
        <s v="S053"/>
        <s v="S054"/>
        <s v="S055"/>
        <s v="S056"/>
        <s v="S057"/>
        <s v="S058"/>
        <s v="S059"/>
        <s v="S060"/>
        <s v="S061"/>
        <s v="S062"/>
        <s v="S063"/>
        <s v="S064"/>
        <s v="S065"/>
        <s v="S066"/>
        <s v="S067"/>
        <s v="S068"/>
        <s v="S069"/>
        <s v="S070"/>
        <s v="S071"/>
        <s v="S072"/>
        <s v="S073"/>
        <s v="S074"/>
        <s v="S075"/>
        <s v="S076"/>
        <s v="S077"/>
        <s v="S078"/>
        <s v="S079"/>
        <s v="S080"/>
        <s v="S081"/>
        <s v="S082"/>
        <s v="S083"/>
        <s v="S084"/>
        <s v="S085"/>
        <s v="S086"/>
        <s v="S087"/>
        <s v="S088"/>
        <s v="S089"/>
        <s v="S090"/>
        <s v="S091"/>
        <s v="S092"/>
        <s v="S093"/>
        <s v="S094"/>
        <s v="S095"/>
        <s v="S096"/>
        <s v="S097"/>
        <s v="S098"/>
        <s v="S099"/>
        <s v="S100"/>
        <s v="S101"/>
        <s v="S102"/>
        <s v="S103"/>
        <s v="S104"/>
        <s v="S105"/>
        <s v="S106"/>
        <s v="S107"/>
        <s v="S108"/>
        <s v="S109"/>
        <s v="S110"/>
        <s v="S111"/>
        <s v="S112"/>
        <s v="S113"/>
        <s v="S114"/>
        <s v="S115"/>
        <s v="S116"/>
        <s v="S117"/>
        <s v="S118"/>
        <s v="S119"/>
        <s v="S120"/>
        <s v="S121"/>
        <s v="S122"/>
        <s v="S123"/>
        <s v="S124"/>
        <s v="S125"/>
        <s v="S126"/>
        <s v="S127"/>
        <s v="S128"/>
        <s v="S129"/>
        <s v="S130"/>
        <s v="S131"/>
        <s v="S132"/>
        <s v="S133"/>
        <s v="S134"/>
        <s v="S135"/>
        <s v="S136"/>
        <s v="S137"/>
        <s v="S138"/>
        <s v="S139"/>
        <s v="S140"/>
        <s v="S141"/>
        <s v="S142"/>
        <s v="S143"/>
        <s v="S144"/>
        <s v="S145"/>
        <s v="S146"/>
        <s v="S147"/>
        <s v="S148"/>
        <s v="S149"/>
        <s v="S150"/>
        <s v="S151"/>
        <s v="S152"/>
        <s v="S153"/>
        <s v="S154"/>
        <s v="S155"/>
        <s v="S156"/>
        <s v="S157"/>
        <s v="S158"/>
        <s v="S159"/>
        <s v="S160"/>
        <s v="S161"/>
        <s v="S162"/>
        <s v="S163"/>
        <s v="S164"/>
        <s v="S165"/>
        <s v="S166"/>
        <s v="S167"/>
        <s v="S168"/>
        <s v="S169"/>
        <s v="S170"/>
        <s v="S171"/>
        <s v="S172"/>
        <s v="S173"/>
        <s v="S174"/>
        <s v="S175"/>
        <s v="S176"/>
        <s v="S177"/>
        <s v="S178"/>
        <s v="S179"/>
        <s v="S180"/>
        <s v="S181"/>
        <s v="S182"/>
        <s v="S183"/>
        <s v="S184"/>
        <s v="S185"/>
        <s v="S186"/>
        <s v="S187"/>
        <s v="S188"/>
        <s v="S189"/>
        <s v="S190"/>
        <s v="S191"/>
        <s v="S192"/>
        <s v="S193"/>
        <s v="S194"/>
        <s v="S195"/>
        <s v="S196"/>
        <s v="S197"/>
        <s v="S198"/>
        <s v="S199"/>
        <s v="S200"/>
      </sharedItems>
    </cacheField>
    <cacheField name="hours_studied" numFmtId="2">
      <sharedItems containsSemiMixedTypes="0" containsString="0" containsNumber="1" minValue="1" maxValue="12" count="96">
        <n v="8"/>
        <n v="1.3"/>
        <n v="4"/>
        <n v="3.5"/>
        <n v="9.1"/>
        <n v="8.4"/>
        <n v="10.8"/>
        <n v="2"/>
        <n v="5.6"/>
        <n v="3.4"/>
        <n v="6.6"/>
        <n v="3.2"/>
        <n v="8.1"/>
        <n v="7"/>
        <n v="7.5"/>
        <n v="9.9"/>
        <n v="1.1000000000000001"/>
        <n v="8.6999999999999993"/>
        <n v="4.7"/>
        <n v="2.7"/>
        <n v="11.5"/>
        <n v="2.1"/>
        <n v="10.3"/>
        <n v="7.6"/>
        <n v="9"/>
        <n v="6.9"/>
        <n v="11.7"/>
        <n v="5.2"/>
        <n v="7.1"/>
        <n v="10.1"/>
        <n v="7.8"/>
        <n v="10.5"/>
        <n v="7.4"/>
        <n v="8.8000000000000007"/>
        <n v="1.5"/>
        <n v="4.2"/>
        <n v="1.9"/>
        <n v="3.6"/>
        <n v="4.0999999999999996"/>
        <n v="5"/>
        <n v="5.0999999999999996"/>
        <n v="3.3"/>
        <n v="3.9"/>
        <n v="11.3"/>
        <n v="7.7"/>
        <n v="2.9"/>
        <n v="2.8"/>
        <n v="11.9"/>
        <n v="8.5"/>
        <n v="9.5"/>
        <n v="1.4"/>
        <n v="4.5"/>
        <n v="11.4"/>
        <n v="10.6"/>
        <n v="8.1999999999999993"/>
        <n v="5.4"/>
        <n v="11.1"/>
        <n v="6"/>
        <n v="3.7"/>
        <n v="7.2"/>
        <n v="10.9"/>
        <n v="12"/>
        <n v="2.2000000000000002"/>
        <n v="7.9"/>
        <n v="9.6999999999999993"/>
        <n v="1.7"/>
        <n v="6.8"/>
        <n v="8.9"/>
        <n v="5.8"/>
        <n v="6.5"/>
        <n v="3"/>
        <n v="11"/>
        <n v="4.3"/>
        <n v="9.4"/>
        <n v="9.6"/>
        <n v="1"/>
        <n v="4.5999999999999996"/>
        <n v="1.2"/>
        <n v="11.2"/>
        <n v="10.7"/>
        <n v="4.4000000000000004"/>
        <n v="1.6"/>
        <n v="6.3"/>
        <n v="1.8"/>
        <n v="2.4"/>
        <n v="6.2"/>
        <n v="5.7"/>
        <n v="6.7"/>
        <n v="2.2999999999999998"/>
        <n v="2.5"/>
        <n v="7.3"/>
        <n v="3.1"/>
        <n v="6.1"/>
        <n v="11.8"/>
        <n v="5.9"/>
        <n v="10.199999999999999"/>
      </sharedItems>
      <fieldGroup base="1">
        <rangePr startNum="1" endNum="12"/>
        <groupItems count="13">
          <s v="&lt;1"/>
          <s v="1-2"/>
          <s v="2-3"/>
          <s v="3-4"/>
          <s v="4-5"/>
          <s v="5-6"/>
          <s v="6-7"/>
          <s v="7-8"/>
          <s v="8-9"/>
          <s v="9-10"/>
          <s v="10-11"/>
          <s v="11-12"/>
          <s v="&gt;12"/>
        </groupItems>
      </fieldGroup>
    </cacheField>
    <cacheField name="sleep_hours" numFmtId="2">
      <sharedItems containsSemiMixedTypes="0" containsString="0" containsNumber="1" minValue="4" maxValue="9" count="50">
        <n v="8.8000000000000007"/>
        <n v="8.6"/>
        <n v="8.1999999999999993"/>
        <n v="4.8"/>
        <n v="6.4"/>
        <n v="5.0999999999999996"/>
        <n v="6"/>
        <n v="4.3"/>
        <n v="5.9"/>
        <n v="8.9"/>
        <n v="5.3"/>
        <n v="7.9"/>
        <n v="6.3"/>
        <n v="6.1"/>
        <n v="9"/>
        <n v="6.8"/>
        <n v="7.6"/>
        <n v="5.5"/>
        <n v="6.9"/>
        <n v="6.7"/>
        <n v="7.7"/>
        <n v="6.5"/>
        <n v="8.3000000000000007"/>
        <n v="4.4000000000000004"/>
        <n v="4.9000000000000004"/>
        <n v="7"/>
        <n v="7.4"/>
        <n v="5.2"/>
        <n v="4.5999999999999996"/>
        <n v="8.5"/>
        <n v="7.1"/>
        <n v="6.6"/>
        <n v="8.6999999999999993"/>
        <n v="5"/>
        <n v="5.6"/>
        <n v="7.8"/>
        <n v="8.4"/>
        <n v="5.8"/>
        <n v="7.5"/>
        <n v="7.3"/>
        <n v="4"/>
        <n v="8.1"/>
        <n v="4.7"/>
        <n v="4.5"/>
        <n v="5.4"/>
        <n v="7.2"/>
        <n v="8"/>
        <n v="4.0999999999999996"/>
        <n v="5.7"/>
        <n v="6.2"/>
      </sharedItems>
      <fieldGroup base="2">
        <rangePr startNum="4" endNum="9"/>
        <groupItems count="7">
          <s v="&lt;4"/>
          <s v="4-5"/>
          <s v="5-6"/>
          <s v="6-7"/>
          <s v="7-8"/>
          <s v="8-9"/>
          <s v="&gt;9"/>
        </groupItems>
      </fieldGroup>
    </cacheField>
    <cacheField name="attendance_percent" numFmtId="2">
      <sharedItems containsSemiMixedTypes="0" containsString="0" containsNumber="1" minValue="50.3" maxValue="100"/>
    </cacheField>
    <cacheField name="previous_scores" numFmtId="0">
      <sharedItems containsSemiMixedTypes="0" containsString="0" containsNumber="1" containsInteger="1" minValue="40" maxValue="95"/>
    </cacheField>
    <cacheField name="exam_score" numFmtId="2">
      <sharedItems containsSemiMixedTypes="0" containsString="0" containsNumber="1" minValue="17.100000000000001" maxValue="51.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x v="0"/>
    <n v="72.099999999999994"/>
    <n v="45"/>
    <n v="30.2"/>
  </r>
  <r>
    <x v="1"/>
    <x v="1"/>
    <x v="1"/>
    <n v="60.7"/>
    <n v="55"/>
    <n v="25"/>
  </r>
  <r>
    <x v="2"/>
    <x v="2"/>
    <x v="2"/>
    <n v="73.7"/>
    <n v="86"/>
    <n v="35.799999999999997"/>
  </r>
  <r>
    <x v="3"/>
    <x v="3"/>
    <x v="3"/>
    <n v="95.1"/>
    <n v="66"/>
    <n v="34"/>
  </r>
  <r>
    <x v="4"/>
    <x v="4"/>
    <x v="4"/>
    <n v="89.8"/>
    <n v="71"/>
    <n v="40.299999999999997"/>
  </r>
  <r>
    <x v="5"/>
    <x v="5"/>
    <x v="5"/>
    <n v="58.5"/>
    <n v="75"/>
    <n v="35.700000000000003"/>
  </r>
  <r>
    <x v="6"/>
    <x v="6"/>
    <x v="6"/>
    <n v="54.2"/>
    <n v="88"/>
    <n v="37.9"/>
  </r>
  <r>
    <x v="7"/>
    <x v="7"/>
    <x v="7"/>
    <n v="75.8"/>
    <n v="55"/>
    <n v="18.3"/>
  </r>
  <r>
    <x v="8"/>
    <x v="8"/>
    <x v="8"/>
    <n v="81.599999999999994"/>
    <n v="84"/>
    <n v="34.700000000000003"/>
  </r>
  <r>
    <x v="9"/>
    <x v="1"/>
    <x v="9"/>
    <n v="66.8"/>
    <n v="70"/>
    <n v="24.7"/>
  </r>
  <r>
    <x v="10"/>
    <x v="9"/>
    <x v="10"/>
    <n v="90.9"/>
    <n v="81"/>
    <n v="29.3"/>
  </r>
  <r>
    <x v="11"/>
    <x v="10"/>
    <x v="11"/>
    <n v="87.6"/>
    <n v="85"/>
    <n v="35.1"/>
  </r>
  <r>
    <x v="12"/>
    <x v="1"/>
    <x v="12"/>
    <n v="83.6"/>
    <n v="71"/>
    <n v="31.2"/>
  </r>
  <r>
    <x v="13"/>
    <x v="11"/>
    <x v="13"/>
    <n v="61.2"/>
    <n v="68"/>
    <n v="30.2"/>
  </r>
  <r>
    <x v="14"/>
    <x v="12"/>
    <x v="0"/>
    <n v="60"/>
    <n v="90"/>
    <n v="41.1"/>
  </r>
  <r>
    <x v="15"/>
    <x v="13"/>
    <x v="14"/>
    <n v="51.2"/>
    <n v="41"/>
    <n v="34.1"/>
  </r>
  <r>
    <x v="16"/>
    <x v="9"/>
    <x v="15"/>
    <n v="62.2"/>
    <n v="45"/>
    <n v="28.9"/>
  </r>
  <r>
    <x v="17"/>
    <x v="14"/>
    <x v="16"/>
    <n v="73.8"/>
    <n v="58"/>
    <n v="36.299999999999997"/>
  </r>
  <r>
    <x v="18"/>
    <x v="15"/>
    <x v="3"/>
    <n v="92.5"/>
    <n v="54"/>
    <n v="35.6"/>
  </r>
  <r>
    <x v="19"/>
    <x v="16"/>
    <x v="17"/>
    <n v="53.6"/>
    <n v="65"/>
    <n v="17.100000000000001"/>
  </r>
  <r>
    <x v="20"/>
    <x v="15"/>
    <x v="0"/>
    <n v="70.7"/>
    <n v="84"/>
    <n v="46"/>
  </r>
  <r>
    <x v="21"/>
    <x v="17"/>
    <x v="18"/>
    <n v="81.5"/>
    <n v="55"/>
    <n v="36.1"/>
  </r>
  <r>
    <x v="22"/>
    <x v="18"/>
    <x v="19"/>
    <n v="59.7"/>
    <n v="59"/>
    <n v="29.6"/>
  </r>
  <r>
    <x v="23"/>
    <x v="19"/>
    <x v="20"/>
    <n v="84.8"/>
    <n v="82"/>
    <n v="35.9"/>
  </r>
  <r>
    <x v="24"/>
    <x v="20"/>
    <x v="7"/>
    <n v="74.7"/>
    <n v="77"/>
    <n v="39.200000000000003"/>
  </r>
  <r>
    <x v="25"/>
    <x v="18"/>
    <x v="18"/>
    <n v="62.2"/>
    <n v="63"/>
    <n v="30"/>
  </r>
  <r>
    <x v="26"/>
    <x v="7"/>
    <x v="21"/>
    <n v="82.8"/>
    <n v="70"/>
    <n v="29"/>
  </r>
  <r>
    <x v="27"/>
    <x v="21"/>
    <x v="22"/>
    <n v="50.3"/>
    <n v="75"/>
    <n v="26.5"/>
  </r>
  <r>
    <x v="28"/>
    <x v="22"/>
    <x v="3"/>
    <n v="87.5"/>
    <n v="73"/>
    <n v="37.200000000000003"/>
  </r>
  <r>
    <x v="29"/>
    <x v="23"/>
    <x v="0"/>
    <n v="88.5"/>
    <n v="62"/>
    <n v="36.200000000000003"/>
  </r>
  <r>
    <x v="30"/>
    <x v="15"/>
    <x v="23"/>
    <n v="55.3"/>
    <n v="67"/>
    <n v="34.5"/>
  </r>
  <r>
    <x v="31"/>
    <x v="24"/>
    <x v="24"/>
    <n v="71.3"/>
    <n v="87"/>
    <n v="41.6"/>
  </r>
  <r>
    <x v="32"/>
    <x v="25"/>
    <x v="25"/>
    <n v="58.8"/>
    <n v="75"/>
    <n v="38.1"/>
  </r>
  <r>
    <x v="33"/>
    <x v="26"/>
    <x v="26"/>
    <n v="97.9"/>
    <n v="61"/>
    <n v="42.7"/>
  </r>
  <r>
    <x v="34"/>
    <x v="27"/>
    <x v="27"/>
    <n v="75.900000000000006"/>
    <n v="62"/>
    <n v="32"/>
  </r>
  <r>
    <x v="35"/>
    <x v="28"/>
    <x v="28"/>
    <n v="52.5"/>
    <n v="84"/>
    <n v="32"/>
  </r>
  <r>
    <x v="36"/>
    <x v="29"/>
    <x v="29"/>
    <n v="62.5"/>
    <n v="69"/>
    <n v="44.7"/>
  </r>
  <r>
    <x v="37"/>
    <x v="30"/>
    <x v="27"/>
    <n v="92.4"/>
    <n v="57"/>
    <n v="38.299999999999997"/>
  </r>
  <r>
    <x v="38"/>
    <x v="31"/>
    <x v="25"/>
    <n v="72.8"/>
    <n v="59"/>
    <n v="39.799999999999997"/>
  </r>
  <r>
    <x v="39"/>
    <x v="32"/>
    <x v="30"/>
    <n v="90.1"/>
    <n v="56"/>
    <n v="35"/>
  </r>
  <r>
    <x v="40"/>
    <x v="33"/>
    <x v="13"/>
    <n v="83.4"/>
    <n v="54"/>
    <n v="34.200000000000003"/>
  </r>
  <r>
    <x v="41"/>
    <x v="34"/>
    <x v="18"/>
    <n v="99.4"/>
    <n v="47"/>
    <n v="23.1"/>
  </r>
  <r>
    <x v="42"/>
    <x v="3"/>
    <x v="31"/>
    <n v="79.8"/>
    <n v="86"/>
    <n v="37.200000000000003"/>
  </r>
  <r>
    <x v="43"/>
    <x v="35"/>
    <x v="32"/>
    <n v="97.5"/>
    <n v="52"/>
    <n v="30.3"/>
  </r>
  <r>
    <x v="44"/>
    <x v="36"/>
    <x v="33"/>
    <n v="94.6"/>
    <n v="60"/>
    <n v="26.1"/>
  </r>
  <r>
    <x v="45"/>
    <x v="37"/>
    <x v="16"/>
    <n v="80.599999999999994"/>
    <n v="47"/>
    <n v="31.8"/>
  </r>
  <r>
    <x v="46"/>
    <x v="21"/>
    <x v="27"/>
    <n v="86"/>
    <n v="87"/>
    <n v="31.6"/>
  </r>
  <r>
    <x v="47"/>
    <x v="38"/>
    <x v="6"/>
    <n v="75.2"/>
    <n v="74"/>
    <n v="31.1"/>
  </r>
  <r>
    <x v="48"/>
    <x v="0"/>
    <x v="26"/>
    <n v="91.5"/>
    <n v="88"/>
    <n v="41.2"/>
  </r>
  <r>
    <x v="49"/>
    <x v="39"/>
    <x v="17"/>
    <n v="77.400000000000006"/>
    <n v="84"/>
    <n v="30.6"/>
  </r>
  <r>
    <x v="50"/>
    <x v="40"/>
    <x v="34"/>
    <n v="94.9"/>
    <n v="51"/>
    <n v="28.8"/>
  </r>
  <r>
    <x v="51"/>
    <x v="41"/>
    <x v="35"/>
    <n v="87.2"/>
    <n v="52"/>
    <n v="30.7"/>
  </r>
  <r>
    <x v="52"/>
    <x v="42"/>
    <x v="23"/>
    <n v="73.7"/>
    <n v="53"/>
    <n v="26.9"/>
  </r>
  <r>
    <x v="53"/>
    <x v="43"/>
    <x v="12"/>
    <n v="63"/>
    <n v="87"/>
    <n v="46.4"/>
  </r>
  <r>
    <x v="54"/>
    <x v="12"/>
    <x v="14"/>
    <n v="62.4"/>
    <n v="70"/>
    <n v="34.4"/>
  </r>
  <r>
    <x v="55"/>
    <x v="44"/>
    <x v="14"/>
    <n v="81.900000000000006"/>
    <n v="57"/>
    <n v="37"/>
  </r>
  <r>
    <x v="56"/>
    <x v="45"/>
    <x v="23"/>
    <n v="88.3"/>
    <n v="86"/>
    <n v="35.200000000000003"/>
  </r>
  <r>
    <x v="57"/>
    <x v="24"/>
    <x v="5"/>
    <n v="76.099999999999994"/>
    <n v="77"/>
    <n v="38.200000000000003"/>
  </r>
  <r>
    <x v="58"/>
    <x v="46"/>
    <x v="10"/>
    <n v="81.3"/>
    <n v="88"/>
    <n v="33"/>
  </r>
  <r>
    <x v="59"/>
    <x v="27"/>
    <x v="32"/>
    <n v="63.7"/>
    <n v="73"/>
    <n v="29.2"/>
  </r>
  <r>
    <x v="60"/>
    <x v="47"/>
    <x v="36"/>
    <n v="53.9"/>
    <n v="78"/>
    <n v="48.6"/>
  </r>
  <r>
    <x v="61"/>
    <x v="0"/>
    <x v="36"/>
    <n v="64.3"/>
    <n v="58"/>
    <n v="36.1"/>
  </r>
  <r>
    <x v="62"/>
    <x v="28"/>
    <x v="37"/>
    <n v="63.6"/>
    <n v="46"/>
    <n v="27.1"/>
  </r>
  <r>
    <x v="63"/>
    <x v="48"/>
    <x v="3"/>
    <n v="66"/>
    <n v="93"/>
    <n v="36.1"/>
  </r>
  <r>
    <x v="64"/>
    <x v="22"/>
    <x v="2"/>
    <n v="77"/>
    <n v="52"/>
    <n v="39.5"/>
  </r>
  <r>
    <x v="65"/>
    <x v="49"/>
    <x v="38"/>
    <n v="56.9"/>
    <n v="58"/>
    <n v="36.700000000000003"/>
  </r>
  <r>
    <x v="66"/>
    <x v="3"/>
    <x v="30"/>
    <n v="61.6"/>
    <n v="54"/>
    <n v="21.7"/>
  </r>
  <r>
    <x v="67"/>
    <x v="50"/>
    <x v="9"/>
    <n v="84.7"/>
    <n v="63"/>
    <n v="32.200000000000003"/>
  </r>
  <r>
    <x v="68"/>
    <x v="51"/>
    <x v="39"/>
    <n v="85.3"/>
    <n v="51"/>
    <n v="33.5"/>
  </r>
  <r>
    <x v="69"/>
    <x v="42"/>
    <x v="40"/>
    <n v="53.2"/>
    <n v="59"/>
    <n v="23.9"/>
  </r>
  <r>
    <x v="70"/>
    <x v="41"/>
    <x v="41"/>
    <n v="70.400000000000006"/>
    <n v="40"/>
    <n v="20.8"/>
  </r>
  <r>
    <x v="71"/>
    <x v="52"/>
    <x v="17"/>
    <n v="77.099999999999994"/>
    <n v="85"/>
    <n v="47.9"/>
  </r>
  <r>
    <x v="72"/>
    <x v="53"/>
    <x v="39"/>
    <n v="70.8"/>
    <n v="74"/>
    <n v="41.9"/>
  </r>
  <r>
    <x v="73"/>
    <x v="51"/>
    <x v="32"/>
    <n v="60.3"/>
    <n v="48"/>
    <n v="29.5"/>
  </r>
  <r>
    <x v="74"/>
    <x v="54"/>
    <x v="42"/>
    <n v="71"/>
    <n v="57"/>
    <n v="33.5"/>
  </r>
  <r>
    <x v="75"/>
    <x v="55"/>
    <x v="28"/>
    <n v="95.2"/>
    <n v="42"/>
    <n v="26.3"/>
  </r>
  <r>
    <x v="76"/>
    <x v="56"/>
    <x v="43"/>
    <n v="79.2"/>
    <n v="43"/>
    <n v="39.9"/>
  </r>
  <r>
    <x v="77"/>
    <x v="57"/>
    <x v="15"/>
    <n v="84.8"/>
    <n v="75"/>
    <n v="40.299999999999997"/>
  </r>
  <r>
    <x v="78"/>
    <x v="42"/>
    <x v="44"/>
    <n v="92.8"/>
    <n v="58"/>
    <n v="26.5"/>
  </r>
  <r>
    <x v="79"/>
    <x v="58"/>
    <x v="25"/>
    <n v="88.3"/>
    <n v="84"/>
    <n v="34.200000000000003"/>
  </r>
  <r>
    <x v="80"/>
    <x v="59"/>
    <x v="16"/>
    <n v="69"/>
    <n v="48"/>
    <n v="30.8"/>
  </r>
  <r>
    <x v="81"/>
    <x v="42"/>
    <x v="33"/>
    <n v="50.3"/>
    <n v="80"/>
    <n v="32.4"/>
  </r>
  <r>
    <x v="82"/>
    <x v="32"/>
    <x v="45"/>
    <n v="67.599999999999994"/>
    <n v="95"/>
    <n v="39.799999999999997"/>
  </r>
  <r>
    <x v="83"/>
    <x v="60"/>
    <x v="10"/>
    <n v="87.7"/>
    <n v="88"/>
    <n v="48.9"/>
  </r>
  <r>
    <x v="84"/>
    <x v="55"/>
    <x v="4"/>
    <n v="92.7"/>
    <n v="71"/>
    <n v="38"/>
  </r>
  <r>
    <x v="85"/>
    <x v="9"/>
    <x v="29"/>
    <n v="97.7"/>
    <n v="46"/>
    <n v="26.5"/>
  </r>
  <r>
    <x v="86"/>
    <x v="61"/>
    <x v="2"/>
    <n v="71"/>
    <n v="95"/>
    <n v="51.3"/>
  </r>
  <r>
    <x v="87"/>
    <x v="10"/>
    <x v="43"/>
    <n v="87.4"/>
    <n v="40"/>
    <n v="28.6"/>
  </r>
  <r>
    <x v="88"/>
    <x v="7"/>
    <x v="13"/>
    <n v="77.3"/>
    <n v="76"/>
    <n v="32.1"/>
  </r>
  <r>
    <x v="89"/>
    <x v="34"/>
    <x v="44"/>
    <n v="80.2"/>
    <n v="58"/>
    <n v="23.9"/>
  </r>
  <r>
    <x v="90"/>
    <x v="62"/>
    <x v="40"/>
    <n v="61"/>
    <n v="70"/>
    <n v="27.3"/>
  </r>
  <r>
    <x v="91"/>
    <x v="63"/>
    <x v="11"/>
    <n v="61"/>
    <n v="70"/>
    <n v="34"/>
  </r>
  <r>
    <x v="92"/>
    <x v="64"/>
    <x v="45"/>
    <n v="71.8"/>
    <n v="68"/>
    <n v="37.5"/>
  </r>
  <r>
    <x v="93"/>
    <x v="8"/>
    <x v="10"/>
    <n v="51.5"/>
    <n v="61"/>
    <n v="29.1"/>
  </r>
  <r>
    <x v="94"/>
    <x v="65"/>
    <x v="20"/>
    <n v="66.8"/>
    <n v="51"/>
    <n v="28.1"/>
  </r>
  <r>
    <x v="95"/>
    <x v="27"/>
    <x v="15"/>
    <n v="84"/>
    <n v="43"/>
    <n v="28.7"/>
  </r>
  <r>
    <x v="96"/>
    <x v="61"/>
    <x v="13"/>
    <n v="70.2"/>
    <n v="56"/>
    <n v="36.9"/>
  </r>
  <r>
    <x v="97"/>
    <x v="66"/>
    <x v="40"/>
    <n v="58.3"/>
    <n v="95"/>
    <n v="36"/>
  </r>
  <r>
    <x v="98"/>
    <x v="26"/>
    <x v="23"/>
    <n v="73.400000000000006"/>
    <n v="70"/>
    <n v="39.9"/>
  </r>
  <r>
    <x v="99"/>
    <x v="31"/>
    <x v="36"/>
    <n v="56.4"/>
    <n v="47"/>
    <n v="37.1"/>
  </r>
  <r>
    <x v="100"/>
    <x v="16"/>
    <x v="29"/>
    <n v="81.099999999999994"/>
    <n v="92"/>
    <n v="31.4"/>
  </r>
  <r>
    <x v="101"/>
    <x v="67"/>
    <x v="19"/>
    <n v="51.3"/>
    <n v="44"/>
    <n v="31.3"/>
  </r>
  <r>
    <x v="102"/>
    <x v="48"/>
    <x v="2"/>
    <n v="69.7"/>
    <n v="65"/>
    <n v="35.700000000000003"/>
  </r>
  <r>
    <x v="103"/>
    <x v="25"/>
    <x v="18"/>
    <n v="78.2"/>
    <n v="71"/>
    <n v="32.6"/>
  </r>
  <r>
    <x v="104"/>
    <x v="42"/>
    <x v="42"/>
    <n v="51.4"/>
    <n v="44"/>
    <n v="24.1"/>
  </r>
  <r>
    <x v="105"/>
    <x v="12"/>
    <x v="28"/>
    <n v="82.1"/>
    <n v="76"/>
    <n v="38.200000000000003"/>
  </r>
  <r>
    <x v="106"/>
    <x v="62"/>
    <x v="17"/>
    <n v="56.8"/>
    <n v="80"/>
    <n v="23.7"/>
  </r>
  <r>
    <x v="107"/>
    <x v="68"/>
    <x v="29"/>
    <n v="73.099999999999994"/>
    <n v="83"/>
    <n v="39.200000000000003"/>
  </r>
  <r>
    <x v="108"/>
    <x v="57"/>
    <x v="46"/>
    <n v="52.5"/>
    <n v="43"/>
    <n v="23.2"/>
  </r>
  <r>
    <x v="109"/>
    <x v="20"/>
    <x v="22"/>
    <n v="69"/>
    <n v="49"/>
    <n v="42.2"/>
  </r>
  <r>
    <x v="110"/>
    <x v="53"/>
    <x v="29"/>
    <n v="60.6"/>
    <n v="49"/>
    <n v="39.6"/>
  </r>
  <r>
    <x v="111"/>
    <x v="42"/>
    <x v="5"/>
    <n v="66.3"/>
    <n v="91"/>
    <n v="34.799999999999997"/>
  </r>
  <r>
    <x v="112"/>
    <x v="69"/>
    <x v="27"/>
    <n v="88.1"/>
    <n v="76"/>
    <n v="34.6"/>
  </r>
  <r>
    <x v="113"/>
    <x v="70"/>
    <x v="43"/>
    <n v="69"/>
    <n v="59"/>
    <n v="26.4"/>
  </r>
  <r>
    <x v="114"/>
    <x v="71"/>
    <x v="11"/>
    <n v="87.6"/>
    <n v="45"/>
    <n v="43.1"/>
  </r>
  <r>
    <x v="115"/>
    <x v="53"/>
    <x v="36"/>
    <n v="91.6"/>
    <n v="55"/>
    <n v="46.4"/>
  </r>
  <r>
    <x v="116"/>
    <x v="72"/>
    <x v="6"/>
    <n v="62.6"/>
    <n v="47"/>
    <n v="25.2"/>
  </r>
  <r>
    <x v="117"/>
    <x v="0"/>
    <x v="30"/>
    <n v="54.1"/>
    <n v="75"/>
    <n v="31.3"/>
  </r>
  <r>
    <x v="118"/>
    <x v="44"/>
    <x v="3"/>
    <n v="51"/>
    <n v="88"/>
    <n v="35.799999999999997"/>
  </r>
  <r>
    <x v="119"/>
    <x v="19"/>
    <x v="1"/>
    <n v="77"/>
    <n v="66"/>
    <n v="29.8"/>
  </r>
  <r>
    <x v="120"/>
    <x v="73"/>
    <x v="22"/>
    <n v="100"/>
    <n v="78"/>
    <n v="47.9"/>
  </r>
  <r>
    <x v="121"/>
    <x v="25"/>
    <x v="9"/>
    <n v="67.5"/>
    <n v="78"/>
    <n v="40.9"/>
  </r>
  <r>
    <x v="122"/>
    <x v="74"/>
    <x v="41"/>
    <n v="82.5"/>
    <n v="90"/>
    <n v="44.1"/>
  </r>
  <r>
    <x v="123"/>
    <x v="66"/>
    <x v="36"/>
    <n v="89.1"/>
    <n v="79"/>
    <n v="39.299999999999997"/>
  </r>
  <r>
    <x v="124"/>
    <x v="75"/>
    <x v="47"/>
    <n v="82.6"/>
    <n v="54"/>
    <n v="21.2"/>
  </r>
  <r>
    <x v="125"/>
    <x v="76"/>
    <x v="20"/>
    <n v="87.7"/>
    <n v="89"/>
    <n v="38.6"/>
  </r>
  <r>
    <x v="126"/>
    <x v="77"/>
    <x v="48"/>
    <n v="97.5"/>
    <n v="73"/>
    <n v="26.8"/>
  </r>
  <r>
    <x v="127"/>
    <x v="78"/>
    <x v="32"/>
    <n v="60"/>
    <n v="64"/>
    <n v="42.7"/>
  </r>
  <r>
    <x v="128"/>
    <x v="79"/>
    <x v="46"/>
    <n v="51"/>
    <n v="68"/>
    <n v="36.1"/>
  </r>
  <r>
    <x v="129"/>
    <x v="29"/>
    <x v="22"/>
    <n v="57.6"/>
    <n v="68"/>
    <n v="39.200000000000003"/>
  </r>
  <r>
    <x v="130"/>
    <x v="80"/>
    <x v="41"/>
    <n v="56.3"/>
    <n v="59"/>
    <n v="32.9"/>
  </r>
  <r>
    <x v="131"/>
    <x v="81"/>
    <x v="10"/>
    <n v="83.5"/>
    <n v="95"/>
    <n v="28.8"/>
  </r>
  <r>
    <x v="132"/>
    <x v="79"/>
    <x v="11"/>
    <n v="78.2"/>
    <n v="77"/>
    <n v="45.7"/>
  </r>
  <r>
    <x v="133"/>
    <x v="52"/>
    <x v="43"/>
    <n v="60.9"/>
    <n v="67"/>
    <n v="40.799999999999997"/>
  </r>
  <r>
    <x v="134"/>
    <x v="36"/>
    <x v="36"/>
    <n v="85"/>
    <n v="59"/>
    <n v="30.6"/>
  </r>
  <r>
    <x v="135"/>
    <x v="82"/>
    <x v="22"/>
    <n v="88.3"/>
    <n v="76"/>
    <n v="41.1"/>
  </r>
  <r>
    <x v="136"/>
    <x v="83"/>
    <x v="5"/>
    <n v="58.4"/>
    <n v="79"/>
    <n v="29"/>
  </r>
  <r>
    <x v="137"/>
    <x v="73"/>
    <x v="41"/>
    <n v="80.400000000000006"/>
    <n v="43"/>
    <n v="35.1"/>
  </r>
  <r>
    <x v="138"/>
    <x v="73"/>
    <x v="12"/>
    <n v="87.4"/>
    <n v="79"/>
    <n v="39.9"/>
  </r>
  <r>
    <x v="139"/>
    <x v="84"/>
    <x v="17"/>
    <n v="55.7"/>
    <n v="87"/>
    <n v="29.9"/>
  </r>
  <r>
    <x v="140"/>
    <x v="85"/>
    <x v="46"/>
    <n v="91"/>
    <n v="46"/>
    <n v="35"/>
  </r>
  <r>
    <x v="141"/>
    <x v="13"/>
    <x v="5"/>
    <n v="98.2"/>
    <n v="88"/>
    <n v="43.3"/>
  </r>
  <r>
    <x v="142"/>
    <x v="42"/>
    <x v="47"/>
    <n v="55.4"/>
    <n v="53"/>
    <n v="19"/>
  </r>
  <r>
    <x v="143"/>
    <x v="53"/>
    <x v="33"/>
    <n v="51.3"/>
    <n v="80"/>
    <n v="35.1"/>
  </r>
  <r>
    <x v="144"/>
    <x v="86"/>
    <x v="34"/>
    <n v="65.599999999999994"/>
    <n v="53"/>
    <n v="29.9"/>
  </r>
  <r>
    <x v="145"/>
    <x v="41"/>
    <x v="22"/>
    <n v="83.9"/>
    <n v="56"/>
    <n v="33"/>
  </r>
  <r>
    <x v="146"/>
    <x v="25"/>
    <x v="0"/>
    <n v="97.9"/>
    <n v="82"/>
    <n v="45.8"/>
  </r>
  <r>
    <x v="147"/>
    <x v="24"/>
    <x v="44"/>
    <n v="69.8"/>
    <n v="45"/>
    <n v="35.5"/>
  </r>
  <r>
    <x v="148"/>
    <x v="11"/>
    <x v="45"/>
    <n v="85.8"/>
    <n v="50"/>
    <n v="26.4"/>
  </r>
  <r>
    <x v="149"/>
    <x v="80"/>
    <x v="6"/>
    <n v="53.8"/>
    <n v="55"/>
    <n v="21.9"/>
  </r>
  <r>
    <x v="150"/>
    <x v="47"/>
    <x v="9"/>
    <n v="84.5"/>
    <n v="51"/>
    <n v="44.1"/>
  </r>
  <r>
    <x v="151"/>
    <x v="12"/>
    <x v="19"/>
    <n v="81.400000000000006"/>
    <n v="75"/>
    <n v="42.3"/>
  </r>
  <r>
    <x v="152"/>
    <x v="68"/>
    <x v="32"/>
    <n v="55.1"/>
    <n v="44"/>
    <n v="27.7"/>
  </r>
  <r>
    <x v="153"/>
    <x v="87"/>
    <x v="28"/>
    <n v="88.6"/>
    <n v="50"/>
    <n v="33.4"/>
  </r>
  <r>
    <x v="154"/>
    <x v="88"/>
    <x v="9"/>
    <n v="92.5"/>
    <n v="40"/>
    <n v="29.7"/>
  </r>
  <r>
    <x v="155"/>
    <x v="3"/>
    <x v="24"/>
    <n v="80"/>
    <n v="66"/>
    <n v="23.6"/>
  </r>
  <r>
    <x v="156"/>
    <x v="18"/>
    <x v="0"/>
    <n v="56.1"/>
    <n v="68"/>
    <n v="33.6"/>
  </r>
  <r>
    <x v="157"/>
    <x v="14"/>
    <x v="10"/>
    <n v="99.2"/>
    <n v="84"/>
    <n v="37.9"/>
  </r>
  <r>
    <x v="158"/>
    <x v="3"/>
    <x v="43"/>
    <n v="89.1"/>
    <n v="78"/>
    <n v="29.5"/>
  </r>
  <r>
    <x v="159"/>
    <x v="9"/>
    <x v="49"/>
    <n v="67.400000000000006"/>
    <n v="70"/>
    <n v="24.7"/>
  </r>
  <r>
    <x v="160"/>
    <x v="83"/>
    <x v="16"/>
    <n v="71.400000000000006"/>
    <n v="58"/>
    <n v="25.2"/>
  </r>
  <r>
    <x v="161"/>
    <x v="63"/>
    <x v="34"/>
    <n v="68.5"/>
    <n v="42"/>
    <n v="31.4"/>
  </r>
  <r>
    <x v="162"/>
    <x v="3"/>
    <x v="25"/>
    <n v="75.3"/>
    <n v="54"/>
    <n v="30"/>
  </r>
  <r>
    <x v="163"/>
    <x v="71"/>
    <x v="31"/>
    <n v="67.099999999999994"/>
    <n v="58"/>
    <n v="35.799999999999997"/>
  </r>
  <r>
    <x v="164"/>
    <x v="31"/>
    <x v="8"/>
    <n v="92.5"/>
    <n v="85"/>
    <n v="40.6"/>
  </r>
  <r>
    <x v="165"/>
    <x v="83"/>
    <x v="18"/>
    <n v="91.1"/>
    <n v="58"/>
    <n v="30.1"/>
  </r>
  <r>
    <x v="166"/>
    <x v="37"/>
    <x v="10"/>
    <n v="55.3"/>
    <n v="84"/>
    <n v="30.3"/>
  </r>
  <r>
    <x v="167"/>
    <x v="5"/>
    <x v="38"/>
    <n v="98"/>
    <n v="95"/>
    <n v="42"/>
  </r>
  <r>
    <x v="168"/>
    <x v="9"/>
    <x v="40"/>
    <n v="81.8"/>
    <n v="69"/>
    <n v="32.1"/>
  </r>
  <r>
    <x v="169"/>
    <x v="89"/>
    <x v="1"/>
    <n v="91.4"/>
    <n v="44"/>
    <n v="22.8"/>
  </r>
  <r>
    <x v="170"/>
    <x v="43"/>
    <x v="19"/>
    <n v="85.4"/>
    <n v="83"/>
    <n v="45.3"/>
  </r>
  <r>
    <x v="171"/>
    <x v="90"/>
    <x v="16"/>
    <n v="71.8"/>
    <n v="54"/>
    <n v="31"/>
  </r>
  <r>
    <x v="172"/>
    <x v="85"/>
    <x v="20"/>
    <n v="86.7"/>
    <n v="56"/>
    <n v="31"/>
  </r>
  <r>
    <x v="173"/>
    <x v="74"/>
    <x v="26"/>
    <n v="98.3"/>
    <n v="90"/>
    <n v="40.9"/>
  </r>
  <r>
    <x v="174"/>
    <x v="15"/>
    <x v="37"/>
    <n v="63.5"/>
    <n v="90"/>
    <n v="44.8"/>
  </r>
  <r>
    <x v="175"/>
    <x v="91"/>
    <x v="7"/>
    <n v="90.4"/>
    <n v="80"/>
    <n v="34.4"/>
  </r>
  <r>
    <x v="176"/>
    <x v="21"/>
    <x v="39"/>
    <n v="76.900000000000006"/>
    <n v="77"/>
    <n v="30.7"/>
  </r>
  <r>
    <x v="177"/>
    <x v="86"/>
    <x v="48"/>
    <n v="74.2"/>
    <n v="82"/>
    <n v="31"/>
  </r>
  <r>
    <x v="178"/>
    <x v="86"/>
    <x v="34"/>
    <n v="71.8"/>
    <n v="91"/>
    <n v="35"/>
  </r>
  <r>
    <x v="179"/>
    <x v="92"/>
    <x v="2"/>
    <n v="86.6"/>
    <n v="52"/>
    <n v="31.4"/>
  </r>
  <r>
    <x v="180"/>
    <x v="24"/>
    <x v="16"/>
    <n v="63.4"/>
    <n v="67"/>
    <n v="38.4"/>
  </r>
  <r>
    <x v="181"/>
    <x v="5"/>
    <x v="17"/>
    <n v="92.6"/>
    <n v="47"/>
    <n v="36.1"/>
  </r>
  <r>
    <x v="182"/>
    <x v="93"/>
    <x v="17"/>
    <n v="91.5"/>
    <n v="74"/>
    <n v="44.1"/>
  </r>
  <r>
    <x v="183"/>
    <x v="21"/>
    <x v="6"/>
    <n v="54.3"/>
    <n v="54"/>
    <n v="19.399999999999999"/>
  </r>
  <r>
    <x v="184"/>
    <x v="55"/>
    <x v="6"/>
    <n v="94.1"/>
    <n v="81"/>
    <n v="39.4"/>
  </r>
  <r>
    <x v="185"/>
    <x v="18"/>
    <x v="17"/>
    <n v="62.2"/>
    <n v="49"/>
    <n v="22.9"/>
  </r>
  <r>
    <x v="186"/>
    <x v="31"/>
    <x v="28"/>
    <n v="73.2"/>
    <n v="57"/>
    <n v="36.200000000000003"/>
  </r>
  <r>
    <x v="187"/>
    <x v="58"/>
    <x v="13"/>
    <n v="80.5"/>
    <n v="92"/>
    <n v="33.4"/>
  </r>
  <r>
    <x v="188"/>
    <x v="91"/>
    <x v="32"/>
    <n v="68.900000000000006"/>
    <n v="49"/>
    <n v="23.4"/>
  </r>
  <r>
    <x v="189"/>
    <x v="94"/>
    <x v="26"/>
    <n v="51.4"/>
    <n v="44"/>
    <n v="28"/>
  </r>
  <r>
    <x v="190"/>
    <x v="8"/>
    <x v="29"/>
    <n v="92.5"/>
    <n v="43"/>
    <n v="32.200000000000003"/>
  </r>
  <r>
    <x v="191"/>
    <x v="38"/>
    <x v="30"/>
    <n v="59.1"/>
    <n v="50"/>
    <n v="30.7"/>
  </r>
  <r>
    <x v="192"/>
    <x v="58"/>
    <x v="17"/>
    <n v="60.6"/>
    <n v="90"/>
    <n v="28.8"/>
  </r>
  <r>
    <x v="193"/>
    <x v="78"/>
    <x v="19"/>
    <n v="89.9"/>
    <n v="59"/>
    <n v="46.7"/>
  </r>
  <r>
    <x v="194"/>
    <x v="94"/>
    <x v="40"/>
    <n v="67"/>
    <n v="78"/>
    <n v="33.799999999999997"/>
  </r>
  <r>
    <x v="195"/>
    <x v="31"/>
    <x v="44"/>
    <n v="94"/>
    <n v="87"/>
    <n v="42.7"/>
  </r>
  <r>
    <x v="196"/>
    <x v="28"/>
    <x v="13"/>
    <n v="85.1"/>
    <n v="92"/>
    <n v="40.4"/>
  </r>
  <r>
    <x v="197"/>
    <x v="81"/>
    <x v="18"/>
    <n v="63.8"/>
    <n v="76"/>
    <n v="28.2"/>
  </r>
  <r>
    <x v="198"/>
    <x v="61"/>
    <x v="39"/>
    <n v="50.5"/>
    <n v="58"/>
    <n v="42"/>
  </r>
  <r>
    <x v="199"/>
    <x v="95"/>
    <x v="12"/>
    <n v="97.4"/>
    <n v="68"/>
    <n v="37.7999999999999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9E6C20-49C5-4800-883F-1CD1DECC4457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Sleep Hours">
  <location ref="AR7:AS208" firstHeaderRow="1" firstDataRow="1" firstDataCol="1"/>
  <pivotFields count="6">
    <pivotField axis="axisRow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dataField="1" showAll="0"/>
  </pivotFields>
  <rowFields count="1">
    <field x="0"/>
  </rowFields>
  <rowItems count="2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 t="grand">
      <x/>
    </i>
  </rowItems>
  <colItems count="1">
    <i/>
  </colItems>
  <dataFields count="1">
    <dataField name="Soma de exam_scor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B3FA78-CC6C-4223-ABF8-8ECD39941F23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Sleep Hours">
  <location ref="W8:Z14" firstHeaderRow="0" firstDataRow="1" firstDataCol="1"/>
  <pivotFields count="6">
    <pivotField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Row" dataField="1" showAll="0" sortType="descending">
      <items count="8">
        <item x="0"/>
        <item x="1"/>
        <item x="2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2"/>
  </rowFields>
  <rowItems count="6">
    <i>
      <x v="5"/>
    </i>
    <i>
      <x v="2"/>
    </i>
    <i>
      <x v="4"/>
    </i>
    <i>
      <x v="3"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ntagem de sleep_hours" fld="2" subtotal="count" baseField="2" baseItem="0"/>
    <dataField name="% Sleep Hours" fld="2" subtotal="count" showDataAs="percentOfCol" baseField="0" baseItem="0" numFmtId="10"/>
    <dataField name="% Acum Sleep Hours" fld="2" subtotal="count" baseField="2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A88390-C443-485F-A761-67BC29DA1CF5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Hours Studied">
  <location ref="E8:F20" firstHeaderRow="1" firstDataRow="1" firstDataCol="1"/>
  <pivotFields count="6">
    <pivotField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axis="axisRow" dataField="1" showAll="0" sortType="descending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</pivotFields>
  <rowFields count="1">
    <field x="1"/>
  </rowFields>
  <rowItems count="12">
    <i>
      <x v="3"/>
    </i>
    <i>
      <x v="11"/>
    </i>
    <i>
      <x v="10"/>
    </i>
    <i>
      <x v="5"/>
    </i>
    <i>
      <x v="1"/>
    </i>
    <i>
      <x v="7"/>
    </i>
    <i>
      <x v="8"/>
    </i>
    <i>
      <x v="2"/>
    </i>
    <i>
      <x v="9"/>
    </i>
    <i>
      <x v="6"/>
    </i>
    <i>
      <x v="4"/>
    </i>
    <i t="grand">
      <x/>
    </i>
  </rowItems>
  <colItems count="1">
    <i/>
  </colItems>
  <dataFields count="1">
    <dataField name="Contagem de hours_studied" fld="1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58118A-E1BF-4AB4-8057-E508E30573AB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ID do Estudante">
  <location ref="B8:C209" firstHeaderRow="1" firstDataRow="1" firstDataCol="1"/>
  <pivotFields count="6">
    <pivotField axis="axisRow" dataField="1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</pivotFields>
  <rowFields count="1">
    <field x="0"/>
  </rowFields>
  <rowItems count="2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 t="grand">
      <x/>
    </i>
  </rowItems>
  <colItems count="1">
    <i/>
  </colItems>
  <dataFields count="1">
    <dataField name="Contagem do estudante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C40D7-EDC6-4789-968F-0A8EFB935266}">
  <dimension ref="B2:AS209"/>
  <sheetViews>
    <sheetView showGridLines="0" topLeftCell="AH1" zoomScale="66" workbookViewId="0">
      <selection activeCell="BD12" sqref="BD12"/>
    </sheetView>
  </sheetViews>
  <sheetFormatPr defaultRowHeight="14.4" x14ac:dyDescent="0.3"/>
  <cols>
    <col min="1" max="1" width="2.5546875" customWidth="1"/>
    <col min="2" max="2" width="16.6640625" bestFit="1" customWidth="1"/>
    <col min="3" max="3" width="22.33203125" bestFit="1" customWidth="1"/>
    <col min="5" max="5" width="15" bestFit="1" customWidth="1"/>
    <col min="6" max="6" width="25" bestFit="1" customWidth="1"/>
    <col min="7" max="7" width="4" bestFit="1" customWidth="1"/>
    <col min="8" max="20" width="5" bestFit="1" customWidth="1"/>
    <col min="21" max="21" width="5" customWidth="1"/>
    <col min="22" max="22" width="5" bestFit="1" customWidth="1"/>
    <col min="23" max="23" width="13.109375" bestFit="1" customWidth="1"/>
    <col min="24" max="24" width="23.109375" bestFit="1" customWidth="1"/>
    <col min="25" max="25" width="12.77734375" bestFit="1" customWidth="1"/>
    <col min="26" max="26" width="18.33203125" bestFit="1" customWidth="1"/>
    <col min="27" max="29" width="5" bestFit="1" customWidth="1"/>
    <col min="30" max="30" width="4" bestFit="1" customWidth="1"/>
    <col min="31" max="37" width="5" bestFit="1" customWidth="1"/>
    <col min="38" max="39" width="4" bestFit="1" customWidth="1"/>
    <col min="40" max="42" width="5" bestFit="1" customWidth="1"/>
    <col min="43" max="43" width="10" bestFit="1" customWidth="1"/>
    <col min="44" max="44" width="13.109375" bestFit="1" customWidth="1"/>
    <col min="45" max="45" width="19" bestFit="1" customWidth="1"/>
  </cols>
  <sheetData>
    <row r="2" spans="2:45" x14ac:dyDescent="0.3">
      <c r="B2" s="4" t="s">
        <v>210</v>
      </c>
      <c r="E2" s="4" t="s">
        <v>210</v>
      </c>
      <c r="W2" s="4" t="s">
        <v>210</v>
      </c>
    </row>
    <row r="3" spans="2:45" x14ac:dyDescent="0.3">
      <c r="B3" t="s">
        <v>209</v>
      </c>
      <c r="E3" t="s">
        <v>222</v>
      </c>
      <c r="W3" t="s">
        <v>226</v>
      </c>
    </row>
    <row r="4" spans="2:45" x14ac:dyDescent="0.3">
      <c r="B4" t="s">
        <v>211</v>
      </c>
      <c r="E4" t="s">
        <v>223</v>
      </c>
      <c r="W4" t="s">
        <v>227</v>
      </c>
    </row>
    <row r="5" spans="2:45" x14ac:dyDescent="0.3">
      <c r="E5" t="s">
        <v>224</v>
      </c>
      <c r="W5" t="s">
        <v>239</v>
      </c>
    </row>
    <row r="7" spans="2:45" x14ac:dyDescent="0.3">
      <c r="AR7" s="1" t="s">
        <v>225</v>
      </c>
      <c r="AS7" t="s">
        <v>242</v>
      </c>
    </row>
    <row r="8" spans="2:45" x14ac:dyDescent="0.3">
      <c r="B8" s="1" t="s">
        <v>212</v>
      </c>
      <c r="C8" t="s">
        <v>213</v>
      </c>
      <c r="E8" s="1" t="s">
        <v>221</v>
      </c>
      <c r="F8" t="s">
        <v>207</v>
      </c>
      <c r="W8" s="1" t="s">
        <v>225</v>
      </c>
      <c r="X8" t="s">
        <v>208</v>
      </c>
      <c r="Y8" t="s">
        <v>240</v>
      </c>
      <c r="Z8" t="s">
        <v>241</v>
      </c>
      <c r="AR8" s="2" t="s">
        <v>6</v>
      </c>
      <c r="AS8">
        <v>30.2</v>
      </c>
    </row>
    <row r="9" spans="2:45" x14ac:dyDescent="0.3">
      <c r="B9" s="2" t="s">
        <v>6</v>
      </c>
      <c r="C9">
        <v>1</v>
      </c>
      <c r="E9" s="2" t="s">
        <v>233</v>
      </c>
      <c r="F9">
        <v>31</v>
      </c>
      <c r="W9" s="2" t="s">
        <v>228</v>
      </c>
      <c r="X9">
        <v>53</v>
      </c>
      <c r="Y9" s="3">
        <v>0.26500000000000001</v>
      </c>
      <c r="Z9" s="3">
        <v>0.26500000000000001</v>
      </c>
      <c r="AR9" s="2" t="s">
        <v>7</v>
      </c>
      <c r="AS9">
        <v>25</v>
      </c>
    </row>
    <row r="10" spans="2:45" x14ac:dyDescent="0.3">
      <c r="B10" s="2" t="s">
        <v>7</v>
      </c>
      <c r="C10">
        <v>1</v>
      </c>
      <c r="E10" s="2" t="s">
        <v>234</v>
      </c>
      <c r="F10">
        <v>19</v>
      </c>
      <c r="W10" s="2" t="s">
        <v>229</v>
      </c>
      <c r="X10">
        <v>42</v>
      </c>
      <c r="Y10" s="3">
        <v>0.21</v>
      </c>
      <c r="Z10" s="3">
        <v>0.47499999999999998</v>
      </c>
      <c r="AR10" s="2" t="s">
        <v>8</v>
      </c>
      <c r="AS10">
        <v>35.799999999999997</v>
      </c>
    </row>
    <row r="11" spans="2:45" x14ac:dyDescent="0.3">
      <c r="B11" s="2" t="s">
        <v>8</v>
      </c>
      <c r="C11">
        <v>1</v>
      </c>
      <c r="E11" s="2" t="s">
        <v>235</v>
      </c>
      <c r="F11">
        <v>18</v>
      </c>
      <c r="W11" s="2" t="s">
        <v>230</v>
      </c>
      <c r="X11">
        <v>36</v>
      </c>
      <c r="Y11" s="3">
        <v>0.18</v>
      </c>
      <c r="Z11" s="3">
        <v>0.65500000000000003</v>
      </c>
      <c r="AR11" s="2" t="s">
        <v>9</v>
      </c>
      <c r="AS11">
        <v>34</v>
      </c>
    </row>
    <row r="12" spans="2:45" x14ac:dyDescent="0.3">
      <c r="B12" s="2" t="s">
        <v>9</v>
      </c>
      <c r="C12">
        <v>1</v>
      </c>
      <c r="E12" s="2" t="s">
        <v>229</v>
      </c>
      <c r="F12">
        <v>18</v>
      </c>
      <c r="W12" s="2" t="s">
        <v>231</v>
      </c>
      <c r="X12">
        <v>36</v>
      </c>
      <c r="Y12" s="3">
        <v>0.18</v>
      </c>
      <c r="Z12" s="3">
        <v>0.83499999999999996</v>
      </c>
      <c r="AR12" s="2" t="s">
        <v>10</v>
      </c>
      <c r="AS12">
        <v>40.299999999999997</v>
      </c>
    </row>
    <row r="13" spans="2:45" x14ac:dyDescent="0.3">
      <c r="B13" s="2" t="s">
        <v>10</v>
      </c>
      <c r="C13">
        <v>1</v>
      </c>
      <c r="E13" s="2" t="s">
        <v>236</v>
      </c>
      <c r="F13">
        <v>18</v>
      </c>
      <c r="W13" s="2" t="s">
        <v>232</v>
      </c>
      <c r="X13">
        <v>33</v>
      </c>
      <c r="Y13" s="3">
        <v>0.16500000000000001</v>
      </c>
      <c r="Z13" s="3">
        <v>1</v>
      </c>
      <c r="AR13" s="2" t="s">
        <v>11</v>
      </c>
      <c r="AS13">
        <v>35.700000000000003</v>
      </c>
    </row>
    <row r="14" spans="2:45" x14ac:dyDescent="0.3">
      <c r="B14" s="2" t="s">
        <v>11</v>
      </c>
      <c r="C14">
        <v>1</v>
      </c>
      <c r="E14" s="2" t="s">
        <v>230</v>
      </c>
      <c r="F14">
        <v>17</v>
      </c>
      <c r="W14" s="2" t="s">
        <v>206</v>
      </c>
      <c r="X14">
        <v>200</v>
      </c>
      <c r="Y14" s="3">
        <v>1</v>
      </c>
      <c r="Z14" s="3"/>
      <c r="AR14" s="2" t="s">
        <v>12</v>
      </c>
      <c r="AS14">
        <v>37.9</v>
      </c>
    </row>
    <row r="15" spans="2:45" x14ac:dyDescent="0.3">
      <c r="B15" s="2" t="s">
        <v>12</v>
      </c>
      <c r="C15">
        <v>1</v>
      </c>
      <c r="E15" s="2" t="s">
        <v>228</v>
      </c>
      <c r="F15">
        <v>17</v>
      </c>
      <c r="AR15" s="2" t="s">
        <v>13</v>
      </c>
      <c r="AS15">
        <v>18.3</v>
      </c>
    </row>
    <row r="16" spans="2:45" x14ac:dyDescent="0.3">
      <c r="B16" s="2" t="s">
        <v>13</v>
      </c>
      <c r="C16">
        <v>1</v>
      </c>
      <c r="E16" s="2" t="s">
        <v>237</v>
      </c>
      <c r="F16">
        <v>16</v>
      </c>
      <c r="AR16" s="2" t="s">
        <v>14</v>
      </c>
      <c r="AS16">
        <v>34.700000000000003</v>
      </c>
    </row>
    <row r="17" spans="2:45" x14ac:dyDescent="0.3">
      <c r="B17" s="2" t="s">
        <v>14</v>
      </c>
      <c r="C17">
        <v>1</v>
      </c>
      <c r="E17" s="2" t="s">
        <v>238</v>
      </c>
      <c r="F17">
        <v>16</v>
      </c>
      <c r="AR17" s="2" t="s">
        <v>15</v>
      </c>
      <c r="AS17">
        <v>24.7</v>
      </c>
    </row>
    <row r="18" spans="2:45" x14ac:dyDescent="0.3">
      <c r="B18" s="2" t="s">
        <v>15</v>
      </c>
      <c r="C18">
        <v>1</v>
      </c>
      <c r="E18" s="2" t="s">
        <v>231</v>
      </c>
      <c r="F18">
        <v>16</v>
      </c>
      <c r="AR18" s="2" t="s">
        <v>16</v>
      </c>
      <c r="AS18">
        <v>29.3</v>
      </c>
    </row>
    <row r="19" spans="2:45" x14ac:dyDescent="0.3">
      <c r="B19" s="2" t="s">
        <v>16</v>
      </c>
      <c r="C19">
        <v>1</v>
      </c>
      <c r="E19" s="2" t="s">
        <v>232</v>
      </c>
      <c r="F19">
        <v>14</v>
      </c>
      <c r="AR19" s="2" t="s">
        <v>17</v>
      </c>
      <c r="AS19">
        <v>35.1</v>
      </c>
    </row>
    <row r="20" spans="2:45" x14ac:dyDescent="0.3">
      <c r="B20" s="2" t="s">
        <v>17</v>
      </c>
      <c r="C20">
        <v>1</v>
      </c>
      <c r="E20" s="2" t="s">
        <v>206</v>
      </c>
      <c r="F20">
        <v>200</v>
      </c>
      <c r="AR20" s="2" t="s">
        <v>18</v>
      </c>
      <c r="AS20">
        <v>31.2</v>
      </c>
    </row>
    <row r="21" spans="2:45" x14ac:dyDescent="0.3">
      <c r="B21" s="2" t="s">
        <v>18</v>
      </c>
      <c r="C21">
        <v>1</v>
      </c>
      <c r="AR21" s="2" t="s">
        <v>19</v>
      </c>
      <c r="AS21">
        <v>30.2</v>
      </c>
    </row>
    <row r="22" spans="2:45" x14ac:dyDescent="0.3">
      <c r="B22" s="2" t="s">
        <v>19</v>
      </c>
      <c r="C22">
        <v>1</v>
      </c>
      <c r="AR22" s="2" t="s">
        <v>20</v>
      </c>
      <c r="AS22">
        <v>41.1</v>
      </c>
    </row>
    <row r="23" spans="2:45" x14ac:dyDescent="0.3">
      <c r="B23" s="2" t="s">
        <v>20</v>
      </c>
      <c r="C23">
        <v>1</v>
      </c>
      <c r="AR23" s="2" t="s">
        <v>21</v>
      </c>
      <c r="AS23">
        <v>34.1</v>
      </c>
    </row>
    <row r="24" spans="2:45" x14ac:dyDescent="0.3">
      <c r="B24" s="2" t="s">
        <v>21</v>
      </c>
      <c r="C24">
        <v>1</v>
      </c>
      <c r="AR24" s="2" t="s">
        <v>22</v>
      </c>
      <c r="AS24">
        <v>28.9</v>
      </c>
    </row>
    <row r="25" spans="2:45" x14ac:dyDescent="0.3">
      <c r="B25" s="2" t="s">
        <v>22</v>
      </c>
      <c r="C25">
        <v>1</v>
      </c>
      <c r="AR25" s="2" t="s">
        <v>23</v>
      </c>
      <c r="AS25">
        <v>36.299999999999997</v>
      </c>
    </row>
    <row r="26" spans="2:45" x14ac:dyDescent="0.3">
      <c r="B26" s="2" t="s">
        <v>23</v>
      </c>
      <c r="C26">
        <v>1</v>
      </c>
      <c r="AR26" s="2" t="s">
        <v>24</v>
      </c>
      <c r="AS26">
        <v>35.6</v>
      </c>
    </row>
    <row r="27" spans="2:45" x14ac:dyDescent="0.3">
      <c r="B27" s="2" t="s">
        <v>24</v>
      </c>
      <c r="C27">
        <v>1</v>
      </c>
      <c r="AR27" s="2" t="s">
        <v>25</v>
      </c>
      <c r="AS27">
        <v>17.100000000000001</v>
      </c>
    </row>
    <row r="28" spans="2:45" x14ac:dyDescent="0.3">
      <c r="B28" s="2" t="s">
        <v>25</v>
      </c>
      <c r="C28">
        <v>1</v>
      </c>
      <c r="AR28" s="2" t="s">
        <v>26</v>
      </c>
      <c r="AS28">
        <v>46</v>
      </c>
    </row>
    <row r="29" spans="2:45" x14ac:dyDescent="0.3">
      <c r="B29" s="2" t="s">
        <v>26</v>
      </c>
      <c r="C29">
        <v>1</v>
      </c>
      <c r="AR29" s="2" t="s">
        <v>27</v>
      </c>
      <c r="AS29">
        <v>36.1</v>
      </c>
    </row>
    <row r="30" spans="2:45" x14ac:dyDescent="0.3">
      <c r="B30" s="2" t="s">
        <v>27</v>
      </c>
      <c r="C30">
        <v>1</v>
      </c>
      <c r="AR30" s="2" t="s">
        <v>28</v>
      </c>
      <c r="AS30">
        <v>29.6</v>
      </c>
    </row>
    <row r="31" spans="2:45" x14ac:dyDescent="0.3">
      <c r="B31" s="2" t="s">
        <v>28</v>
      </c>
      <c r="C31">
        <v>1</v>
      </c>
      <c r="AR31" s="2" t="s">
        <v>29</v>
      </c>
      <c r="AS31">
        <v>35.9</v>
      </c>
    </row>
    <row r="32" spans="2:45" x14ac:dyDescent="0.3">
      <c r="B32" s="2" t="s">
        <v>29</v>
      </c>
      <c r="C32">
        <v>1</v>
      </c>
      <c r="AR32" s="2" t="s">
        <v>30</v>
      </c>
      <c r="AS32">
        <v>39.200000000000003</v>
      </c>
    </row>
    <row r="33" spans="2:45" x14ac:dyDescent="0.3">
      <c r="B33" s="2" t="s">
        <v>30</v>
      </c>
      <c r="C33">
        <v>1</v>
      </c>
      <c r="AR33" s="2" t="s">
        <v>31</v>
      </c>
      <c r="AS33">
        <v>30</v>
      </c>
    </row>
    <row r="34" spans="2:45" x14ac:dyDescent="0.3">
      <c r="B34" s="2" t="s">
        <v>31</v>
      </c>
      <c r="C34">
        <v>1</v>
      </c>
      <c r="AR34" s="2" t="s">
        <v>32</v>
      </c>
      <c r="AS34">
        <v>29</v>
      </c>
    </row>
    <row r="35" spans="2:45" x14ac:dyDescent="0.3">
      <c r="B35" s="2" t="s">
        <v>32</v>
      </c>
      <c r="C35">
        <v>1</v>
      </c>
      <c r="AR35" s="2" t="s">
        <v>33</v>
      </c>
      <c r="AS35">
        <v>26.5</v>
      </c>
    </row>
    <row r="36" spans="2:45" x14ac:dyDescent="0.3">
      <c r="B36" s="2" t="s">
        <v>33</v>
      </c>
      <c r="C36">
        <v>1</v>
      </c>
      <c r="AR36" s="2" t="s">
        <v>34</v>
      </c>
      <c r="AS36">
        <v>37.200000000000003</v>
      </c>
    </row>
    <row r="37" spans="2:45" x14ac:dyDescent="0.3">
      <c r="B37" s="2" t="s">
        <v>34</v>
      </c>
      <c r="C37">
        <v>1</v>
      </c>
      <c r="AR37" s="2" t="s">
        <v>35</v>
      </c>
      <c r="AS37">
        <v>36.200000000000003</v>
      </c>
    </row>
    <row r="38" spans="2:45" x14ac:dyDescent="0.3">
      <c r="B38" s="2" t="s">
        <v>35</v>
      </c>
      <c r="C38">
        <v>1</v>
      </c>
      <c r="AR38" s="2" t="s">
        <v>36</v>
      </c>
      <c r="AS38">
        <v>34.5</v>
      </c>
    </row>
    <row r="39" spans="2:45" x14ac:dyDescent="0.3">
      <c r="B39" s="2" t="s">
        <v>36</v>
      </c>
      <c r="C39">
        <v>1</v>
      </c>
      <c r="AR39" s="2" t="s">
        <v>37</v>
      </c>
      <c r="AS39">
        <v>41.6</v>
      </c>
    </row>
    <row r="40" spans="2:45" x14ac:dyDescent="0.3">
      <c r="B40" s="2" t="s">
        <v>37</v>
      </c>
      <c r="C40">
        <v>1</v>
      </c>
      <c r="AR40" s="2" t="s">
        <v>38</v>
      </c>
      <c r="AS40">
        <v>38.1</v>
      </c>
    </row>
    <row r="41" spans="2:45" x14ac:dyDescent="0.3">
      <c r="B41" s="2" t="s">
        <v>38</v>
      </c>
      <c r="C41">
        <v>1</v>
      </c>
      <c r="AR41" s="2" t="s">
        <v>39</v>
      </c>
      <c r="AS41">
        <v>42.7</v>
      </c>
    </row>
    <row r="42" spans="2:45" x14ac:dyDescent="0.3">
      <c r="B42" s="2" t="s">
        <v>39</v>
      </c>
      <c r="C42">
        <v>1</v>
      </c>
      <c r="AR42" s="2" t="s">
        <v>40</v>
      </c>
      <c r="AS42">
        <v>32</v>
      </c>
    </row>
    <row r="43" spans="2:45" x14ac:dyDescent="0.3">
      <c r="B43" s="2" t="s">
        <v>40</v>
      </c>
      <c r="C43">
        <v>1</v>
      </c>
      <c r="AR43" s="2" t="s">
        <v>41</v>
      </c>
      <c r="AS43">
        <v>32</v>
      </c>
    </row>
    <row r="44" spans="2:45" x14ac:dyDescent="0.3">
      <c r="B44" s="2" t="s">
        <v>41</v>
      </c>
      <c r="C44">
        <v>1</v>
      </c>
      <c r="AR44" s="2" t="s">
        <v>42</v>
      </c>
      <c r="AS44">
        <v>44.7</v>
      </c>
    </row>
    <row r="45" spans="2:45" x14ac:dyDescent="0.3">
      <c r="B45" s="2" t="s">
        <v>42</v>
      </c>
      <c r="C45">
        <v>1</v>
      </c>
      <c r="AR45" s="2" t="s">
        <v>43</v>
      </c>
      <c r="AS45">
        <v>38.299999999999997</v>
      </c>
    </row>
    <row r="46" spans="2:45" x14ac:dyDescent="0.3">
      <c r="B46" s="2" t="s">
        <v>43</v>
      </c>
      <c r="C46">
        <v>1</v>
      </c>
      <c r="AR46" s="2" t="s">
        <v>44</v>
      </c>
      <c r="AS46">
        <v>39.799999999999997</v>
      </c>
    </row>
    <row r="47" spans="2:45" x14ac:dyDescent="0.3">
      <c r="B47" s="2" t="s">
        <v>44</v>
      </c>
      <c r="C47">
        <v>1</v>
      </c>
      <c r="AR47" s="2" t="s">
        <v>45</v>
      </c>
      <c r="AS47">
        <v>35</v>
      </c>
    </row>
    <row r="48" spans="2:45" x14ac:dyDescent="0.3">
      <c r="B48" s="2" t="s">
        <v>45</v>
      </c>
      <c r="C48">
        <v>1</v>
      </c>
      <c r="AR48" s="2" t="s">
        <v>46</v>
      </c>
      <c r="AS48">
        <v>34.200000000000003</v>
      </c>
    </row>
    <row r="49" spans="2:45" x14ac:dyDescent="0.3">
      <c r="B49" s="2" t="s">
        <v>46</v>
      </c>
      <c r="C49">
        <v>1</v>
      </c>
      <c r="AR49" s="2" t="s">
        <v>47</v>
      </c>
      <c r="AS49">
        <v>23.1</v>
      </c>
    </row>
    <row r="50" spans="2:45" x14ac:dyDescent="0.3">
      <c r="B50" s="2" t="s">
        <v>47</v>
      </c>
      <c r="C50">
        <v>1</v>
      </c>
      <c r="AR50" s="2" t="s">
        <v>48</v>
      </c>
      <c r="AS50">
        <v>37.200000000000003</v>
      </c>
    </row>
    <row r="51" spans="2:45" x14ac:dyDescent="0.3">
      <c r="B51" s="2" t="s">
        <v>48</v>
      </c>
      <c r="C51">
        <v>1</v>
      </c>
      <c r="AR51" s="2" t="s">
        <v>49</v>
      </c>
      <c r="AS51">
        <v>30.3</v>
      </c>
    </row>
    <row r="52" spans="2:45" x14ac:dyDescent="0.3">
      <c r="B52" s="2" t="s">
        <v>49</v>
      </c>
      <c r="C52">
        <v>1</v>
      </c>
      <c r="AR52" s="2" t="s">
        <v>50</v>
      </c>
      <c r="AS52">
        <v>26.1</v>
      </c>
    </row>
    <row r="53" spans="2:45" x14ac:dyDescent="0.3">
      <c r="B53" s="2" t="s">
        <v>50</v>
      </c>
      <c r="C53">
        <v>1</v>
      </c>
      <c r="AR53" s="2" t="s">
        <v>51</v>
      </c>
      <c r="AS53">
        <v>31.8</v>
      </c>
    </row>
    <row r="54" spans="2:45" x14ac:dyDescent="0.3">
      <c r="B54" s="2" t="s">
        <v>51</v>
      </c>
      <c r="C54">
        <v>1</v>
      </c>
      <c r="AR54" s="2" t="s">
        <v>52</v>
      </c>
      <c r="AS54">
        <v>31.6</v>
      </c>
    </row>
    <row r="55" spans="2:45" x14ac:dyDescent="0.3">
      <c r="B55" s="2" t="s">
        <v>52</v>
      </c>
      <c r="C55">
        <v>1</v>
      </c>
      <c r="AR55" s="2" t="s">
        <v>53</v>
      </c>
      <c r="AS55">
        <v>31.1</v>
      </c>
    </row>
    <row r="56" spans="2:45" x14ac:dyDescent="0.3">
      <c r="B56" s="2" t="s">
        <v>53</v>
      </c>
      <c r="C56">
        <v>1</v>
      </c>
      <c r="AR56" s="2" t="s">
        <v>54</v>
      </c>
      <c r="AS56">
        <v>41.2</v>
      </c>
    </row>
    <row r="57" spans="2:45" x14ac:dyDescent="0.3">
      <c r="B57" s="2" t="s">
        <v>54</v>
      </c>
      <c r="C57">
        <v>1</v>
      </c>
      <c r="AR57" s="2" t="s">
        <v>55</v>
      </c>
      <c r="AS57">
        <v>30.6</v>
      </c>
    </row>
    <row r="58" spans="2:45" x14ac:dyDescent="0.3">
      <c r="B58" s="2" t="s">
        <v>55</v>
      </c>
      <c r="C58">
        <v>1</v>
      </c>
      <c r="AR58" s="2" t="s">
        <v>56</v>
      </c>
      <c r="AS58">
        <v>28.8</v>
      </c>
    </row>
    <row r="59" spans="2:45" x14ac:dyDescent="0.3">
      <c r="B59" s="2" t="s">
        <v>56</v>
      </c>
      <c r="C59">
        <v>1</v>
      </c>
      <c r="AR59" s="2" t="s">
        <v>57</v>
      </c>
      <c r="AS59">
        <v>30.7</v>
      </c>
    </row>
    <row r="60" spans="2:45" x14ac:dyDescent="0.3">
      <c r="B60" s="2" t="s">
        <v>57</v>
      </c>
      <c r="C60">
        <v>1</v>
      </c>
      <c r="AR60" s="2" t="s">
        <v>58</v>
      </c>
      <c r="AS60">
        <v>26.9</v>
      </c>
    </row>
    <row r="61" spans="2:45" x14ac:dyDescent="0.3">
      <c r="B61" s="2" t="s">
        <v>58</v>
      </c>
      <c r="C61">
        <v>1</v>
      </c>
      <c r="AR61" s="2" t="s">
        <v>59</v>
      </c>
      <c r="AS61">
        <v>46.4</v>
      </c>
    </row>
    <row r="62" spans="2:45" x14ac:dyDescent="0.3">
      <c r="B62" s="2" t="s">
        <v>59</v>
      </c>
      <c r="C62">
        <v>1</v>
      </c>
      <c r="AR62" s="2" t="s">
        <v>60</v>
      </c>
      <c r="AS62">
        <v>34.4</v>
      </c>
    </row>
    <row r="63" spans="2:45" x14ac:dyDescent="0.3">
      <c r="B63" s="2" t="s">
        <v>60</v>
      </c>
      <c r="C63">
        <v>1</v>
      </c>
      <c r="AR63" s="2" t="s">
        <v>61</v>
      </c>
      <c r="AS63">
        <v>37</v>
      </c>
    </row>
    <row r="64" spans="2:45" x14ac:dyDescent="0.3">
      <c r="B64" s="2" t="s">
        <v>61</v>
      </c>
      <c r="C64">
        <v>1</v>
      </c>
      <c r="AR64" s="2" t="s">
        <v>62</v>
      </c>
      <c r="AS64">
        <v>35.200000000000003</v>
      </c>
    </row>
    <row r="65" spans="2:45" x14ac:dyDescent="0.3">
      <c r="B65" s="2" t="s">
        <v>62</v>
      </c>
      <c r="C65">
        <v>1</v>
      </c>
      <c r="AR65" s="2" t="s">
        <v>63</v>
      </c>
      <c r="AS65">
        <v>38.200000000000003</v>
      </c>
    </row>
    <row r="66" spans="2:45" x14ac:dyDescent="0.3">
      <c r="B66" s="2" t="s">
        <v>63</v>
      </c>
      <c r="C66">
        <v>1</v>
      </c>
      <c r="AR66" s="2" t="s">
        <v>64</v>
      </c>
      <c r="AS66">
        <v>33</v>
      </c>
    </row>
    <row r="67" spans="2:45" x14ac:dyDescent="0.3">
      <c r="B67" s="2" t="s">
        <v>64</v>
      </c>
      <c r="C67">
        <v>1</v>
      </c>
      <c r="AR67" s="2" t="s">
        <v>65</v>
      </c>
      <c r="AS67">
        <v>29.2</v>
      </c>
    </row>
    <row r="68" spans="2:45" x14ac:dyDescent="0.3">
      <c r="B68" s="2" t="s">
        <v>65</v>
      </c>
      <c r="C68">
        <v>1</v>
      </c>
      <c r="AR68" s="2" t="s">
        <v>66</v>
      </c>
      <c r="AS68">
        <v>48.6</v>
      </c>
    </row>
    <row r="69" spans="2:45" x14ac:dyDescent="0.3">
      <c r="B69" s="2" t="s">
        <v>66</v>
      </c>
      <c r="C69">
        <v>1</v>
      </c>
      <c r="AR69" s="2" t="s">
        <v>67</v>
      </c>
      <c r="AS69">
        <v>36.1</v>
      </c>
    </row>
    <row r="70" spans="2:45" x14ac:dyDescent="0.3">
      <c r="B70" s="2" t="s">
        <v>67</v>
      </c>
      <c r="C70">
        <v>1</v>
      </c>
      <c r="AR70" s="2" t="s">
        <v>68</v>
      </c>
      <c r="AS70">
        <v>27.1</v>
      </c>
    </row>
    <row r="71" spans="2:45" x14ac:dyDescent="0.3">
      <c r="B71" s="2" t="s">
        <v>68</v>
      </c>
      <c r="C71">
        <v>1</v>
      </c>
      <c r="AR71" s="2" t="s">
        <v>69</v>
      </c>
      <c r="AS71">
        <v>36.1</v>
      </c>
    </row>
    <row r="72" spans="2:45" x14ac:dyDescent="0.3">
      <c r="B72" s="2" t="s">
        <v>69</v>
      </c>
      <c r="C72">
        <v>1</v>
      </c>
      <c r="AR72" s="2" t="s">
        <v>70</v>
      </c>
      <c r="AS72">
        <v>39.5</v>
      </c>
    </row>
    <row r="73" spans="2:45" x14ac:dyDescent="0.3">
      <c r="B73" s="2" t="s">
        <v>70</v>
      </c>
      <c r="C73">
        <v>1</v>
      </c>
      <c r="AR73" s="2" t="s">
        <v>71</v>
      </c>
      <c r="AS73">
        <v>36.700000000000003</v>
      </c>
    </row>
    <row r="74" spans="2:45" x14ac:dyDescent="0.3">
      <c r="B74" s="2" t="s">
        <v>71</v>
      </c>
      <c r="C74">
        <v>1</v>
      </c>
      <c r="AR74" s="2" t="s">
        <v>72</v>
      </c>
      <c r="AS74">
        <v>21.7</v>
      </c>
    </row>
    <row r="75" spans="2:45" x14ac:dyDescent="0.3">
      <c r="B75" s="2" t="s">
        <v>72</v>
      </c>
      <c r="C75">
        <v>1</v>
      </c>
      <c r="AR75" s="2" t="s">
        <v>73</v>
      </c>
      <c r="AS75">
        <v>32.200000000000003</v>
      </c>
    </row>
    <row r="76" spans="2:45" x14ac:dyDescent="0.3">
      <c r="B76" s="2" t="s">
        <v>73</v>
      </c>
      <c r="C76">
        <v>1</v>
      </c>
      <c r="AR76" s="2" t="s">
        <v>74</v>
      </c>
      <c r="AS76">
        <v>33.5</v>
      </c>
    </row>
    <row r="77" spans="2:45" x14ac:dyDescent="0.3">
      <c r="B77" s="2" t="s">
        <v>74</v>
      </c>
      <c r="C77">
        <v>1</v>
      </c>
      <c r="AR77" s="2" t="s">
        <v>75</v>
      </c>
      <c r="AS77">
        <v>23.9</v>
      </c>
    </row>
    <row r="78" spans="2:45" x14ac:dyDescent="0.3">
      <c r="B78" s="2" t="s">
        <v>75</v>
      </c>
      <c r="C78">
        <v>1</v>
      </c>
      <c r="AR78" s="2" t="s">
        <v>76</v>
      </c>
      <c r="AS78">
        <v>20.8</v>
      </c>
    </row>
    <row r="79" spans="2:45" x14ac:dyDescent="0.3">
      <c r="B79" s="2" t="s">
        <v>76</v>
      </c>
      <c r="C79">
        <v>1</v>
      </c>
      <c r="AR79" s="2" t="s">
        <v>77</v>
      </c>
      <c r="AS79">
        <v>47.9</v>
      </c>
    </row>
    <row r="80" spans="2:45" x14ac:dyDescent="0.3">
      <c r="B80" s="2" t="s">
        <v>77</v>
      </c>
      <c r="C80">
        <v>1</v>
      </c>
      <c r="AR80" s="2" t="s">
        <v>78</v>
      </c>
      <c r="AS80">
        <v>41.9</v>
      </c>
    </row>
    <row r="81" spans="2:45" x14ac:dyDescent="0.3">
      <c r="B81" s="2" t="s">
        <v>78</v>
      </c>
      <c r="C81">
        <v>1</v>
      </c>
      <c r="AR81" s="2" t="s">
        <v>79</v>
      </c>
      <c r="AS81">
        <v>29.5</v>
      </c>
    </row>
    <row r="82" spans="2:45" x14ac:dyDescent="0.3">
      <c r="B82" s="2" t="s">
        <v>79</v>
      </c>
      <c r="C82">
        <v>1</v>
      </c>
      <c r="AR82" s="2" t="s">
        <v>80</v>
      </c>
      <c r="AS82">
        <v>33.5</v>
      </c>
    </row>
    <row r="83" spans="2:45" x14ac:dyDescent="0.3">
      <c r="B83" s="2" t="s">
        <v>80</v>
      </c>
      <c r="C83">
        <v>1</v>
      </c>
      <c r="AR83" s="2" t="s">
        <v>81</v>
      </c>
      <c r="AS83">
        <v>26.3</v>
      </c>
    </row>
    <row r="84" spans="2:45" x14ac:dyDescent="0.3">
      <c r="B84" s="2" t="s">
        <v>81</v>
      </c>
      <c r="C84">
        <v>1</v>
      </c>
      <c r="AR84" s="2" t="s">
        <v>82</v>
      </c>
      <c r="AS84">
        <v>39.9</v>
      </c>
    </row>
    <row r="85" spans="2:45" x14ac:dyDescent="0.3">
      <c r="B85" s="2" t="s">
        <v>82</v>
      </c>
      <c r="C85">
        <v>1</v>
      </c>
      <c r="AR85" s="2" t="s">
        <v>83</v>
      </c>
      <c r="AS85">
        <v>40.299999999999997</v>
      </c>
    </row>
    <row r="86" spans="2:45" x14ac:dyDescent="0.3">
      <c r="B86" s="2" t="s">
        <v>83</v>
      </c>
      <c r="C86">
        <v>1</v>
      </c>
      <c r="AR86" s="2" t="s">
        <v>84</v>
      </c>
      <c r="AS86">
        <v>26.5</v>
      </c>
    </row>
    <row r="87" spans="2:45" x14ac:dyDescent="0.3">
      <c r="B87" s="2" t="s">
        <v>84</v>
      </c>
      <c r="C87">
        <v>1</v>
      </c>
      <c r="AR87" s="2" t="s">
        <v>85</v>
      </c>
      <c r="AS87">
        <v>34.200000000000003</v>
      </c>
    </row>
    <row r="88" spans="2:45" x14ac:dyDescent="0.3">
      <c r="B88" s="2" t="s">
        <v>85</v>
      </c>
      <c r="C88">
        <v>1</v>
      </c>
      <c r="AR88" s="2" t="s">
        <v>86</v>
      </c>
      <c r="AS88">
        <v>30.8</v>
      </c>
    </row>
    <row r="89" spans="2:45" x14ac:dyDescent="0.3">
      <c r="B89" s="2" t="s">
        <v>86</v>
      </c>
      <c r="C89">
        <v>1</v>
      </c>
      <c r="AR89" s="2" t="s">
        <v>87</v>
      </c>
      <c r="AS89">
        <v>32.4</v>
      </c>
    </row>
    <row r="90" spans="2:45" x14ac:dyDescent="0.3">
      <c r="B90" s="2" t="s">
        <v>87</v>
      </c>
      <c r="C90">
        <v>1</v>
      </c>
      <c r="AR90" s="2" t="s">
        <v>88</v>
      </c>
      <c r="AS90">
        <v>39.799999999999997</v>
      </c>
    </row>
    <row r="91" spans="2:45" x14ac:dyDescent="0.3">
      <c r="B91" s="2" t="s">
        <v>88</v>
      </c>
      <c r="C91">
        <v>1</v>
      </c>
      <c r="AR91" s="2" t="s">
        <v>89</v>
      </c>
      <c r="AS91">
        <v>48.9</v>
      </c>
    </row>
    <row r="92" spans="2:45" x14ac:dyDescent="0.3">
      <c r="B92" s="2" t="s">
        <v>89</v>
      </c>
      <c r="C92">
        <v>1</v>
      </c>
      <c r="AR92" s="2" t="s">
        <v>90</v>
      </c>
      <c r="AS92">
        <v>38</v>
      </c>
    </row>
    <row r="93" spans="2:45" x14ac:dyDescent="0.3">
      <c r="B93" s="2" t="s">
        <v>90</v>
      </c>
      <c r="C93">
        <v>1</v>
      </c>
      <c r="AR93" s="2" t="s">
        <v>91</v>
      </c>
      <c r="AS93">
        <v>26.5</v>
      </c>
    </row>
    <row r="94" spans="2:45" x14ac:dyDescent="0.3">
      <c r="B94" s="2" t="s">
        <v>91</v>
      </c>
      <c r="C94">
        <v>1</v>
      </c>
      <c r="AR94" s="2" t="s">
        <v>92</v>
      </c>
      <c r="AS94">
        <v>51.3</v>
      </c>
    </row>
    <row r="95" spans="2:45" x14ac:dyDescent="0.3">
      <c r="B95" s="2" t="s">
        <v>92</v>
      </c>
      <c r="C95">
        <v>1</v>
      </c>
      <c r="AR95" s="2" t="s">
        <v>93</v>
      </c>
      <c r="AS95">
        <v>28.6</v>
      </c>
    </row>
    <row r="96" spans="2:45" x14ac:dyDescent="0.3">
      <c r="B96" s="2" t="s">
        <v>93</v>
      </c>
      <c r="C96">
        <v>1</v>
      </c>
      <c r="AR96" s="2" t="s">
        <v>94</v>
      </c>
      <c r="AS96">
        <v>32.1</v>
      </c>
    </row>
    <row r="97" spans="2:45" x14ac:dyDescent="0.3">
      <c r="B97" s="2" t="s">
        <v>94</v>
      </c>
      <c r="C97">
        <v>1</v>
      </c>
      <c r="AR97" s="2" t="s">
        <v>95</v>
      </c>
      <c r="AS97">
        <v>23.9</v>
      </c>
    </row>
    <row r="98" spans="2:45" x14ac:dyDescent="0.3">
      <c r="B98" s="2" t="s">
        <v>95</v>
      </c>
      <c r="C98">
        <v>1</v>
      </c>
      <c r="AR98" s="2" t="s">
        <v>96</v>
      </c>
      <c r="AS98">
        <v>27.3</v>
      </c>
    </row>
    <row r="99" spans="2:45" x14ac:dyDescent="0.3">
      <c r="B99" s="2" t="s">
        <v>96</v>
      </c>
      <c r="C99">
        <v>1</v>
      </c>
      <c r="AR99" s="2" t="s">
        <v>97</v>
      </c>
      <c r="AS99">
        <v>34</v>
      </c>
    </row>
    <row r="100" spans="2:45" x14ac:dyDescent="0.3">
      <c r="B100" s="2" t="s">
        <v>97</v>
      </c>
      <c r="C100">
        <v>1</v>
      </c>
      <c r="AR100" s="2" t="s">
        <v>98</v>
      </c>
      <c r="AS100">
        <v>37.5</v>
      </c>
    </row>
    <row r="101" spans="2:45" x14ac:dyDescent="0.3">
      <c r="B101" s="2" t="s">
        <v>98</v>
      </c>
      <c r="C101">
        <v>1</v>
      </c>
      <c r="AR101" s="2" t="s">
        <v>99</v>
      </c>
      <c r="AS101">
        <v>29.1</v>
      </c>
    </row>
    <row r="102" spans="2:45" x14ac:dyDescent="0.3">
      <c r="B102" s="2" t="s">
        <v>99</v>
      </c>
      <c r="C102">
        <v>1</v>
      </c>
      <c r="AR102" s="2" t="s">
        <v>100</v>
      </c>
      <c r="AS102">
        <v>28.1</v>
      </c>
    </row>
    <row r="103" spans="2:45" x14ac:dyDescent="0.3">
      <c r="B103" s="2" t="s">
        <v>100</v>
      </c>
      <c r="C103">
        <v>1</v>
      </c>
      <c r="AR103" s="2" t="s">
        <v>101</v>
      </c>
      <c r="AS103">
        <v>28.7</v>
      </c>
    </row>
    <row r="104" spans="2:45" x14ac:dyDescent="0.3">
      <c r="B104" s="2" t="s">
        <v>101</v>
      </c>
      <c r="C104">
        <v>1</v>
      </c>
      <c r="AR104" s="2" t="s">
        <v>102</v>
      </c>
      <c r="AS104">
        <v>36.9</v>
      </c>
    </row>
    <row r="105" spans="2:45" x14ac:dyDescent="0.3">
      <c r="B105" s="2" t="s">
        <v>102</v>
      </c>
      <c r="C105">
        <v>1</v>
      </c>
      <c r="AR105" s="2" t="s">
        <v>103</v>
      </c>
      <c r="AS105">
        <v>36</v>
      </c>
    </row>
    <row r="106" spans="2:45" x14ac:dyDescent="0.3">
      <c r="B106" s="2" t="s">
        <v>103</v>
      </c>
      <c r="C106">
        <v>1</v>
      </c>
      <c r="AR106" s="2" t="s">
        <v>104</v>
      </c>
      <c r="AS106">
        <v>39.9</v>
      </c>
    </row>
    <row r="107" spans="2:45" x14ac:dyDescent="0.3">
      <c r="B107" s="2" t="s">
        <v>104</v>
      </c>
      <c r="C107">
        <v>1</v>
      </c>
      <c r="AR107" s="2" t="s">
        <v>105</v>
      </c>
      <c r="AS107">
        <v>37.1</v>
      </c>
    </row>
    <row r="108" spans="2:45" x14ac:dyDescent="0.3">
      <c r="B108" s="2" t="s">
        <v>105</v>
      </c>
      <c r="C108">
        <v>1</v>
      </c>
      <c r="AR108" s="2" t="s">
        <v>106</v>
      </c>
      <c r="AS108">
        <v>31.4</v>
      </c>
    </row>
    <row r="109" spans="2:45" x14ac:dyDescent="0.3">
      <c r="B109" s="2" t="s">
        <v>106</v>
      </c>
      <c r="C109">
        <v>1</v>
      </c>
      <c r="AR109" s="2" t="s">
        <v>107</v>
      </c>
      <c r="AS109">
        <v>31.3</v>
      </c>
    </row>
    <row r="110" spans="2:45" x14ac:dyDescent="0.3">
      <c r="B110" s="2" t="s">
        <v>107</v>
      </c>
      <c r="C110">
        <v>1</v>
      </c>
      <c r="AR110" s="2" t="s">
        <v>108</v>
      </c>
      <c r="AS110">
        <v>35.700000000000003</v>
      </c>
    </row>
    <row r="111" spans="2:45" x14ac:dyDescent="0.3">
      <c r="B111" s="2" t="s">
        <v>108</v>
      </c>
      <c r="C111">
        <v>1</v>
      </c>
      <c r="AR111" s="2" t="s">
        <v>109</v>
      </c>
      <c r="AS111">
        <v>32.6</v>
      </c>
    </row>
    <row r="112" spans="2:45" x14ac:dyDescent="0.3">
      <c r="B112" s="2" t="s">
        <v>109</v>
      </c>
      <c r="C112">
        <v>1</v>
      </c>
      <c r="AR112" s="2" t="s">
        <v>110</v>
      </c>
      <c r="AS112">
        <v>24.1</v>
      </c>
    </row>
    <row r="113" spans="2:45" x14ac:dyDescent="0.3">
      <c r="B113" s="2" t="s">
        <v>110</v>
      </c>
      <c r="C113">
        <v>1</v>
      </c>
      <c r="AR113" s="2" t="s">
        <v>111</v>
      </c>
      <c r="AS113">
        <v>38.200000000000003</v>
      </c>
    </row>
    <row r="114" spans="2:45" x14ac:dyDescent="0.3">
      <c r="B114" s="2" t="s">
        <v>111</v>
      </c>
      <c r="C114">
        <v>1</v>
      </c>
      <c r="AR114" s="2" t="s">
        <v>112</v>
      </c>
      <c r="AS114">
        <v>23.7</v>
      </c>
    </row>
    <row r="115" spans="2:45" x14ac:dyDescent="0.3">
      <c r="B115" s="2" t="s">
        <v>112</v>
      </c>
      <c r="C115">
        <v>1</v>
      </c>
      <c r="AR115" s="2" t="s">
        <v>113</v>
      </c>
      <c r="AS115">
        <v>39.200000000000003</v>
      </c>
    </row>
    <row r="116" spans="2:45" x14ac:dyDescent="0.3">
      <c r="B116" s="2" t="s">
        <v>113</v>
      </c>
      <c r="C116">
        <v>1</v>
      </c>
      <c r="AR116" s="2" t="s">
        <v>114</v>
      </c>
      <c r="AS116">
        <v>23.2</v>
      </c>
    </row>
    <row r="117" spans="2:45" x14ac:dyDescent="0.3">
      <c r="B117" s="2" t="s">
        <v>114</v>
      </c>
      <c r="C117">
        <v>1</v>
      </c>
      <c r="AR117" s="2" t="s">
        <v>115</v>
      </c>
      <c r="AS117">
        <v>42.2</v>
      </c>
    </row>
    <row r="118" spans="2:45" x14ac:dyDescent="0.3">
      <c r="B118" s="2" t="s">
        <v>115</v>
      </c>
      <c r="C118">
        <v>1</v>
      </c>
      <c r="AR118" s="2" t="s">
        <v>116</v>
      </c>
      <c r="AS118">
        <v>39.6</v>
      </c>
    </row>
    <row r="119" spans="2:45" x14ac:dyDescent="0.3">
      <c r="B119" s="2" t="s">
        <v>116</v>
      </c>
      <c r="C119">
        <v>1</v>
      </c>
      <c r="AR119" s="2" t="s">
        <v>117</v>
      </c>
      <c r="AS119">
        <v>34.799999999999997</v>
      </c>
    </row>
    <row r="120" spans="2:45" x14ac:dyDescent="0.3">
      <c r="B120" s="2" t="s">
        <v>117</v>
      </c>
      <c r="C120">
        <v>1</v>
      </c>
      <c r="AR120" s="2" t="s">
        <v>118</v>
      </c>
      <c r="AS120">
        <v>34.6</v>
      </c>
    </row>
    <row r="121" spans="2:45" x14ac:dyDescent="0.3">
      <c r="B121" s="2" t="s">
        <v>118</v>
      </c>
      <c r="C121">
        <v>1</v>
      </c>
      <c r="AR121" s="2" t="s">
        <v>119</v>
      </c>
      <c r="AS121">
        <v>26.4</v>
      </c>
    </row>
    <row r="122" spans="2:45" x14ac:dyDescent="0.3">
      <c r="B122" s="2" t="s">
        <v>119</v>
      </c>
      <c r="C122">
        <v>1</v>
      </c>
      <c r="AR122" s="2" t="s">
        <v>120</v>
      </c>
      <c r="AS122">
        <v>43.1</v>
      </c>
    </row>
    <row r="123" spans="2:45" x14ac:dyDescent="0.3">
      <c r="B123" s="2" t="s">
        <v>120</v>
      </c>
      <c r="C123">
        <v>1</v>
      </c>
      <c r="AR123" s="2" t="s">
        <v>121</v>
      </c>
      <c r="AS123">
        <v>46.4</v>
      </c>
    </row>
    <row r="124" spans="2:45" x14ac:dyDescent="0.3">
      <c r="B124" s="2" t="s">
        <v>121</v>
      </c>
      <c r="C124">
        <v>1</v>
      </c>
      <c r="AR124" s="2" t="s">
        <v>122</v>
      </c>
      <c r="AS124">
        <v>25.2</v>
      </c>
    </row>
    <row r="125" spans="2:45" x14ac:dyDescent="0.3">
      <c r="B125" s="2" t="s">
        <v>122</v>
      </c>
      <c r="C125">
        <v>1</v>
      </c>
      <c r="AR125" s="2" t="s">
        <v>123</v>
      </c>
      <c r="AS125">
        <v>31.3</v>
      </c>
    </row>
    <row r="126" spans="2:45" x14ac:dyDescent="0.3">
      <c r="B126" s="2" t="s">
        <v>123</v>
      </c>
      <c r="C126">
        <v>1</v>
      </c>
      <c r="AR126" s="2" t="s">
        <v>124</v>
      </c>
      <c r="AS126">
        <v>35.799999999999997</v>
      </c>
    </row>
    <row r="127" spans="2:45" x14ac:dyDescent="0.3">
      <c r="B127" s="2" t="s">
        <v>124</v>
      </c>
      <c r="C127">
        <v>1</v>
      </c>
      <c r="AR127" s="2" t="s">
        <v>125</v>
      </c>
      <c r="AS127">
        <v>29.8</v>
      </c>
    </row>
    <row r="128" spans="2:45" x14ac:dyDescent="0.3">
      <c r="B128" s="2" t="s">
        <v>125</v>
      </c>
      <c r="C128">
        <v>1</v>
      </c>
      <c r="AR128" s="2" t="s">
        <v>126</v>
      </c>
      <c r="AS128">
        <v>47.9</v>
      </c>
    </row>
    <row r="129" spans="2:45" x14ac:dyDescent="0.3">
      <c r="B129" s="2" t="s">
        <v>126</v>
      </c>
      <c r="C129">
        <v>1</v>
      </c>
      <c r="AR129" s="2" t="s">
        <v>127</v>
      </c>
      <c r="AS129">
        <v>40.9</v>
      </c>
    </row>
    <row r="130" spans="2:45" x14ac:dyDescent="0.3">
      <c r="B130" s="2" t="s">
        <v>127</v>
      </c>
      <c r="C130">
        <v>1</v>
      </c>
      <c r="AR130" s="2" t="s">
        <v>128</v>
      </c>
      <c r="AS130">
        <v>44.1</v>
      </c>
    </row>
    <row r="131" spans="2:45" x14ac:dyDescent="0.3">
      <c r="B131" s="2" t="s">
        <v>128</v>
      </c>
      <c r="C131">
        <v>1</v>
      </c>
      <c r="AR131" s="2" t="s">
        <v>129</v>
      </c>
      <c r="AS131">
        <v>39.299999999999997</v>
      </c>
    </row>
    <row r="132" spans="2:45" x14ac:dyDescent="0.3">
      <c r="B132" s="2" t="s">
        <v>129</v>
      </c>
      <c r="C132">
        <v>1</v>
      </c>
      <c r="AR132" s="2" t="s">
        <v>130</v>
      </c>
      <c r="AS132">
        <v>21.2</v>
      </c>
    </row>
    <row r="133" spans="2:45" x14ac:dyDescent="0.3">
      <c r="B133" s="2" t="s">
        <v>130</v>
      </c>
      <c r="C133">
        <v>1</v>
      </c>
      <c r="AR133" s="2" t="s">
        <v>131</v>
      </c>
      <c r="AS133">
        <v>38.6</v>
      </c>
    </row>
    <row r="134" spans="2:45" x14ac:dyDescent="0.3">
      <c r="B134" s="2" t="s">
        <v>131</v>
      </c>
      <c r="C134">
        <v>1</v>
      </c>
      <c r="AR134" s="2" t="s">
        <v>132</v>
      </c>
      <c r="AS134">
        <v>26.8</v>
      </c>
    </row>
    <row r="135" spans="2:45" x14ac:dyDescent="0.3">
      <c r="B135" s="2" t="s">
        <v>132</v>
      </c>
      <c r="C135">
        <v>1</v>
      </c>
      <c r="AR135" s="2" t="s">
        <v>133</v>
      </c>
      <c r="AS135">
        <v>42.7</v>
      </c>
    </row>
    <row r="136" spans="2:45" x14ac:dyDescent="0.3">
      <c r="B136" s="2" t="s">
        <v>133</v>
      </c>
      <c r="C136">
        <v>1</v>
      </c>
      <c r="AR136" s="2" t="s">
        <v>134</v>
      </c>
      <c r="AS136">
        <v>36.1</v>
      </c>
    </row>
    <row r="137" spans="2:45" x14ac:dyDescent="0.3">
      <c r="B137" s="2" t="s">
        <v>134</v>
      </c>
      <c r="C137">
        <v>1</v>
      </c>
      <c r="AR137" s="2" t="s">
        <v>135</v>
      </c>
      <c r="AS137">
        <v>39.200000000000003</v>
      </c>
    </row>
    <row r="138" spans="2:45" x14ac:dyDescent="0.3">
      <c r="B138" s="2" t="s">
        <v>135</v>
      </c>
      <c r="C138">
        <v>1</v>
      </c>
      <c r="AR138" s="2" t="s">
        <v>136</v>
      </c>
      <c r="AS138">
        <v>32.9</v>
      </c>
    </row>
    <row r="139" spans="2:45" x14ac:dyDescent="0.3">
      <c r="B139" s="2" t="s">
        <v>136</v>
      </c>
      <c r="C139">
        <v>1</v>
      </c>
      <c r="AR139" s="2" t="s">
        <v>137</v>
      </c>
      <c r="AS139">
        <v>28.8</v>
      </c>
    </row>
    <row r="140" spans="2:45" x14ac:dyDescent="0.3">
      <c r="B140" s="2" t="s">
        <v>137</v>
      </c>
      <c r="C140">
        <v>1</v>
      </c>
      <c r="AR140" s="2" t="s">
        <v>138</v>
      </c>
      <c r="AS140">
        <v>45.7</v>
      </c>
    </row>
    <row r="141" spans="2:45" x14ac:dyDescent="0.3">
      <c r="B141" s="2" t="s">
        <v>138</v>
      </c>
      <c r="C141">
        <v>1</v>
      </c>
      <c r="AR141" s="2" t="s">
        <v>139</v>
      </c>
      <c r="AS141">
        <v>40.799999999999997</v>
      </c>
    </row>
    <row r="142" spans="2:45" x14ac:dyDescent="0.3">
      <c r="B142" s="2" t="s">
        <v>139</v>
      </c>
      <c r="C142">
        <v>1</v>
      </c>
      <c r="AR142" s="2" t="s">
        <v>140</v>
      </c>
      <c r="AS142">
        <v>30.6</v>
      </c>
    </row>
    <row r="143" spans="2:45" x14ac:dyDescent="0.3">
      <c r="B143" s="2" t="s">
        <v>140</v>
      </c>
      <c r="C143">
        <v>1</v>
      </c>
      <c r="AR143" s="2" t="s">
        <v>141</v>
      </c>
      <c r="AS143">
        <v>41.1</v>
      </c>
    </row>
    <row r="144" spans="2:45" x14ac:dyDescent="0.3">
      <c r="B144" s="2" t="s">
        <v>141</v>
      </c>
      <c r="C144">
        <v>1</v>
      </c>
      <c r="AR144" s="2" t="s">
        <v>142</v>
      </c>
      <c r="AS144">
        <v>29</v>
      </c>
    </row>
    <row r="145" spans="2:45" x14ac:dyDescent="0.3">
      <c r="B145" s="2" t="s">
        <v>142</v>
      </c>
      <c r="C145">
        <v>1</v>
      </c>
      <c r="AR145" s="2" t="s">
        <v>143</v>
      </c>
      <c r="AS145">
        <v>35.1</v>
      </c>
    </row>
    <row r="146" spans="2:45" x14ac:dyDescent="0.3">
      <c r="B146" s="2" t="s">
        <v>143</v>
      </c>
      <c r="C146">
        <v>1</v>
      </c>
      <c r="AR146" s="2" t="s">
        <v>144</v>
      </c>
      <c r="AS146">
        <v>39.9</v>
      </c>
    </row>
    <row r="147" spans="2:45" x14ac:dyDescent="0.3">
      <c r="B147" s="2" t="s">
        <v>144</v>
      </c>
      <c r="C147">
        <v>1</v>
      </c>
      <c r="AR147" s="2" t="s">
        <v>145</v>
      </c>
      <c r="AS147">
        <v>29.9</v>
      </c>
    </row>
    <row r="148" spans="2:45" x14ac:dyDescent="0.3">
      <c r="B148" s="2" t="s">
        <v>145</v>
      </c>
      <c r="C148">
        <v>1</v>
      </c>
      <c r="AR148" s="2" t="s">
        <v>146</v>
      </c>
      <c r="AS148">
        <v>35</v>
      </c>
    </row>
    <row r="149" spans="2:45" x14ac:dyDescent="0.3">
      <c r="B149" s="2" t="s">
        <v>146</v>
      </c>
      <c r="C149">
        <v>1</v>
      </c>
      <c r="AR149" s="2" t="s">
        <v>147</v>
      </c>
      <c r="AS149">
        <v>43.3</v>
      </c>
    </row>
    <row r="150" spans="2:45" x14ac:dyDescent="0.3">
      <c r="B150" s="2" t="s">
        <v>147</v>
      </c>
      <c r="C150">
        <v>1</v>
      </c>
      <c r="AR150" s="2" t="s">
        <v>148</v>
      </c>
      <c r="AS150">
        <v>19</v>
      </c>
    </row>
    <row r="151" spans="2:45" x14ac:dyDescent="0.3">
      <c r="B151" s="2" t="s">
        <v>148</v>
      </c>
      <c r="C151">
        <v>1</v>
      </c>
      <c r="AR151" s="2" t="s">
        <v>149</v>
      </c>
      <c r="AS151">
        <v>35.1</v>
      </c>
    </row>
    <row r="152" spans="2:45" x14ac:dyDescent="0.3">
      <c r="B152" s="2" t="s">
        <v>149</v>
      </c>
      <c r="C152">
        <v>1</v>
      </c>
      <c r="AR152" s="2" t="s">
        <v>150</v>
      </c>
      <c r="AS152">
        <v>29.9</v>
      </c>
    </row>
    <row r="153" spans="2:45" x14ac:dyDescent="0.3">
      <c r="B153" s="2" t="s">
        <v>150</v>
      </c>
      <c r="C153">
        <v>1</v>
      </c>
      <c r="AR153" s="2" t="s">
        <v>151</v>
      </c>
      <c r="AS153">
        <v>33</v>
      </c>
    </row>
    <row r="154" spans="2:45" x14ac:dyDescent="0.3">
      <c r="B154" s="2" t="s">
        <v>151</v>
      </c>
      <c r="C154">
        <v>1</v>
      </c>
      <c r="AR154" s="2" t="s">
        <v>152</v>
      </c>
      <c r="AS154">
        <v>45.8</v>
      </c>
    </row>
    <row r="155" spans="2:45" x14ac:dyDescent="0.3">
      <c r="B155" s="2" t="s">
        <v>152</v>
      </c>
      <c r="C155">
        <v>1</v>
      </c>
      <c r="AR155" s="2" t="s">
        <v>153</v>
      </c>
      <c r="AS155">
        <v>35.5</v>
      </c>
    </row>
    <row r="156" spans="2:45" x14ac:dyDescent="0.3">
      <c r="B156" s="2" t="s">
        <v>153</v>
      </c>
      <c r="C156">
        <v>1</v>
      </c>
      <c r="AR156" s="2" t="s">
        <v>154</v>
      </c>
      <c r="AS156">
        <v>26.4</v>
      </c>
    </row>
    <row r="157" spans="2:45" x14ac:dyDescent="0.3">
      <c r="B157" s="2" t="s">
        <v>154</v>
      </c>
      <c r="C157">
        <v>1</v>
      </c>
      <c r="AR157" s="2" t="s">
        <v>155</v>
      </c>
      <c r="AS157">
        <v>21.9</v>
      </c>
    </row>
    <row r="158" spans="2:45" x14ac:dyDescent="0.3">
      <c r="B158" s="2" t="s">
        <v>155</v>
      </c>
      <c r="C158">
        <v>1</v>
      </c>
      <c r="AR158" s="2" t="s">
        <v>156</v>
      </c>
      <c r="AS158">
        <v>44.1</v>
      </c>
    </row>
    <row r="159" spans="2:45" x14ac:dyDescent="0.3">
      <c r="B159" s="2" t="s">
        <v>156</v>
      </c>
      <c r="C159">
        <v>1</v>
      </c>
      <c r="AR159" s="2" t="s">
        <v>157</v>
      </c>
      <c r="AS159">
        <v>42.3</v>
      </c>
    </row>
    <row r="160" spans="2:45" x14ac:dyDescent="0.3">
      <c r="B160" s="2" t="s">
        <v>157</v>
      </c>
      <c r="C160">
        <v>1</v>
      </c>
      <c r="AR160" s="2" t="s">
        <v>158</v>
      </c>
      <c r="AS160">
        <v>27.7</v>
      </c>
    </row>
    <row r="161" spans="2:45" x14ac:dyDescent="0.3">
      <c r="B161" s="2" t="s">
        <v>158</v>
      </c>
      <c r="C161">
        <v>1</v>
      </c>
      <c r="AR161" s="2" t="s">
        <v>159</v>
      </c>
      <c r="AS161">
        <v>33.4</v>
      </c>
    </row>
    <row r="162" spans="2:45" x14ac:dyDescent="0.3">
      <c r="B162" s="2" t="s">
        <v>159</v>
      </c>
      <c r="C162">
        <v>1</v>
      </c>
      <c r="AR162" s="2" t="s">
        <v>160</v>
      </c>
      <c r="AS162">
        <v>29.7</v>
      </c>
    </row>
    <row r="163" spans="2:45" x14ac:dyDescent="0.3">
      <c r="B163" s="2" t="s">
        <v>160</v>
      </c>
      <c r="C163">
        <v>1</v>
      </c>
      <c r="AR163" s="2" t="s">
        <v>161</v>
      </c>
      <c r="AS163">
        <v>23.6</v>
      </c>
    </row>
    <row r="164" spans="2:45" x14ac:dyDescent="0.3">
      <c r="B164" s="2" t="s">
        <v>161</v>
      </c>
      <c r="C164">
        <v>1</v>
      </c>
      <c r="AR164" s="2" t="s">
        <v>162</v>
      </c>
      <c r="AS164">
        <v>33.6</v>
      </c>
    </row>
    <row r="165" spans="2:45" x14ac:dyDescent="0.3">
      <c r="B165" s="2" t="s">
        <v>162</v>
      </c>
      <c r="C165">
        <v>1</v>
      </c>
      <c r="AR165" s="2" t="s">
        <v>163</v>
      </c>
      <c r="AS165">
        <v>37.9</v>
      </c>
    </row>
    <row r="166" spans="2:45" x14ac:dyDescent="0.3">
      <c r="B166" s="2" t="s">
        <v>163</v>
      </c>
      <c r="C166">
        <v>1</v>
      </c>
      <c r="AR166" s="2" t="s">
        <v>164</v>
      </c>
      <c r="AS166">
        <v>29.5</v>
      </c>
    </row>
    <row r="167" spans="2:45" x14ac:dyDescent="0.3">
      <c r="B167" s="2" t="s">
        <v>164</v>
      </c>
      <c r="C167">
        <v>1</v>
      </c>
      <c r="AR167" s="2" t="s">
        <v>165</v>
      </c>
      <c r="AS167">
        <v>24.7</v>
      </c>
    </row>
    <row r="168" spans="2:45" x14ac:dyDescent="0.3">
      <c r="B168" s="2" t="s">
        <v>165</v>
      </c>
      <c r="C168">
        <v>1</v>
      </c>
      <c r="AR168" s="2" t="s">
        <v>166</v>
      </c>
      <c r="AS168">
        <v>25.2</v>
      </c>
    </row>
    <row r="169" spans="2:45" x14ac:dyDescent="0.3">
      <c r="B169" s="2" t="s">
        <v>166</v>
      </c>
      <c r="C169">
        <v>1</v>
      </c>
      <c r="AR169" s="2" t="s">
        <v>167</v>
      </c>
      <c r="AS169">
        <v>31.4</v>
      </c>
    </row>
    <row r="170" spans="2:45" x14ac:dyDescent="0.3">
      <c r="B170" s="2" t="s">
        <v>167</v>
      </c>
      <c r="C170">
        <v>1</v>
      </c>
      <c r="AR170" s="2" t="s">
        <v>168</v>
      </c>
      <c r="AS170">
        <v>30</v>
      </c>
    </row>
    <row r="171" spans="2:45" x14ac:dyDescent="0.3">
      <c r="B171" s="2" t="s">
        <v>168</v>
      </c>
      <c r="C171">
        <v>1</v>
      </c>
      <c r="AR171" s="2" t="s">
        <v>169</v>
      </c>
      <c r="AS171">
        <v>35.799999999999997</v>
      </c>
    </row>
    <row r="172" spans="2:45" x14ac:dyDescent="0.3">
      <c r="B172" s="2" t="s">
        <v>169</v>
      </c>
      <c r="C172">
        <v>1</v>
      </c>
      <c r="AR172" s="2" t="s">
        <v>170</v>
      </c>
      <c r="AS172">
        <v>40.6</v>
      </c>
    </row>
    <row r="173" spans="2:45" x14ac:dyDescent="0.3">
      <c r="B173" s="2" t="s">
        <v>170</v>
      </c>
      <c r="C173">
        <v>1</v>
      </c>
      <c r="AR173" s="2" t="s">
        <v>171</v>
      </c>
      <c r="AS173">
        <v>30.1</v>
      </c>
    </row>
    <row r="174" spans="2:45" x14ac:dyDescent="0.3">
      <c r="B174" s="2" t="s">
        <v>171</v>
      </c>
      <c r="C174">
        <v>1</v>
      </c>
      <c r="AR174" s="2" t="s">
        <v>172</v>
      </c>
      <c r="AS174">
        <v>30.3</v>
      </c>
    </row>
    <row r="175" spans="2:45" x14ac:dyDescent="0.3">
      <c r="B175" s="2" t="s">
        <v>172</v>
      </c>
      <c r="C175">
        <v>1</v>
      </c>
      <c r="AR175" s="2" t="s">
        <v>173</v>
      </c>
      <c r="AS175">
        <v>42</v>
      </c>
    </row>
    <row r="176" spans="2:45" x14ac:dyDescent="0.3">
      <c r="B176" s="2" t="s">
        <v>173</v>
      </c>
      <c r="C176">
        <v>1</v>
      </c>
      <c r="AR176" s="2" t="s">
        <v>174</v>
      </c>
      <c r="AS176">
        <v>32.1</v>
      </c>
    </row>
    <row r="177" spans="2:45" x14ac:dyDescent="0.3">
      <c r="B177" s="2" t="s">
        <v>174</v>
      </c>
      <c r="C177">
        <v>1</v>
      </c>
      <c r="AR177" s="2" t="s">
        <v>175</v>
      </c>
      <c r="AS177">
        <v>22.8</v>
      </c>
    </row>
    <row r="178" spans="2:45" x14ac:dyDescent="0.3">
      <c r="B178" s="2" t="s">
        <v>175</v>
      </c>
      <c r="C178">
        <v>1</v>
      </c>
      <c r="AR178" s="2" t="s">
        <v>176</v>
      </c>
      <c r="AS178">
        <v>45.3</v>
      </c>
    </row>
    <row r="179" spans="2:45" x14ac:dyDescent="0.3">
      <c r="B179" s="2" t="s">
        <v>176</v>
      </c>
      <c r="C179">
        <v>1</v>
      </c>
      <c r="AR179" s="2" t="s">
        <v>177</v>
      </c>
      <c r="AS179">
        <v>31</v>
      </c>
    </row>
    <row r="180" spans="2:45" x14ac:dyDescent="0.3">
      <c r="B180" s="2" t="s">
        <v>177</v>
      </c>
      <c r="C180">
        <v>1</v>
      </c>
      <c r="AR180" s="2" t="s">
        <v>178</v>
      </c>
      <c r="AS180">
        <v>31</v>
      </c>
    </row>
    <row r="181" spans="2:45" x14ac:dyDescent="0.3">
      <c r="B181" s="2" t="s">
        <v>178</v>
      </c>
      <c r="C181">
        <v>1</v>
      </c>
      <c r="AR181" s="2" t="s">
        <v>179</v>
      </c>
      <c r="AS181">
        <v>40.9</v>
      </c>
    </row>
    <row r="182" spans="2:45" x14ac:dyDescent="0.3">
      <c r="B182" s="2" t="s">
        <v>179</v>
      </c>
      <c r="C182">
        <v>1</v>
      </c>
      <c r="AR182" s="2" t="s">
        <v>180</v>
      </c>
      <c r="AS182">
        <v>44.8</v>
      </c>
    </row>
    <row r="183" spans="2:45" x14ac:dyDescent="0.3">
      <c r="B183" s="2" t="s">
        <v>180</v>
      </c>
      <c r="C183">
        <v>1</v>
      </c>
      <c r="AR183" s="2" t="s">
        <v>181</v>
      </c>
      <c r="AS183">
        <v>34.4</v>
      </c>
    </row>
    <row r="184" spans="2:45" x14ac:dyDescent="0.3">
      <c r="B184" s="2" t="s">
        <v>181</v>
      </c>
      <c r="C184">
        <v>1</v>
      </c>
      <c r="AR184" s="2" t="s">
        <v>182</v>
      </c>
      <c r="AS184">
        <v>30.7</v>
      </c>
    </row>
    <row r="185" spans="2:45" x14ac:dyDescent="0.3">
      <c r="B185" s="2" t="s">
        <v>182</v>
      </c>
      <c r="C185">
        <v>1</v>
      </c>
      <c r="AR185" s="2" t="s">
        <v>183</v>
      </c>
      <c r="AS185">
        <v>31</v>
      </c>
    </row>
    <row r="186" spans="2:45" x14ac:dyDescent="0.3">
      <c r="B186" s="2" t="s">
        <v>183</v>
      </c>
      <c r="C186">
        <v>1</v>
      </c>
      <c r="AR186" s="2" t="s">
        <v>184</v>
      </c>
      <c r="AS186">
        <v>35</v>
      </c>
    </row>
    <row r="187" spans="2:45" x14ac:dyDescent="0.3">
      <c r="B187" s="2" t="s">
        <v>184</v>
      </c>
      <c r="C187">
        <v>1</v>
      </c>
      <c r="AR187" s="2" t="s">
        <v>185</v>
      </c>
      <c r="AS187">
        <v>31.4</v>
      </c>
    </row>
    <row r="188" spans="2:45" x14ac:dyDescent="0.3">
      <c r="B188" s="2" t="s">
        <v>185</v>
      </c>
      <c r="C188">
        <v>1</v>
      </c>
      <c r="AR188" s="2" t="s">
        <v>186</v>
      </c>
      <c r="AS188">
        <v>38.4</v>
      </c>
    </row>
    <row r="189" spans="2:45" x14ac:dyDescent="0.3">
      <c r="B189" s="2" t="s">
        <v>186</v>
      </c>
      <c r="C189">
        <v>1</v>
      </c>
      <c r="AR189" s="2" t="s">
        <v>187</v>
      </c>
      <c r="AS189">
        <v>36.1</v>
      </c>
    </row>
    <row r="190" spans="2:45" x14ac:dyDescent="0.3">
      <c r="B190" s="2" t="s">
        <v>187</v>
      </c>
      <c r="C190">
        <v>1</v>
      </c>
      <c r="AR190" s="2" t="s">
        <v>188</v>
      </c>
      <c r="AS190">
        <v>44.1</v>
      </c>
    </row>
    <row r="191" spans="2:45" x14ac:dyDescent="0.3">
      <c r="B191" s="2" t="s">
        <v>188</v>
      </c>
      <c r="C191">
        <v>1</v>
      </c>
      <c r="AR191" s="2" t="s">
        <v>189</v>
      </c>
      <c r="AS191">
        <v>19.399999999999999</v>
      </c>
    </row>
    <row r="192" spans="2:45" x14ac:dyDescent="0.3">
      <c r="B192" s="2" t="s">
        <v>189</v>
      </c>
      <c r="C192">
        <v>1</v>
      </c>
      <c r="AR192" s="2" t="s">
        <v>190</v>
      </c>
      <c r="AS192">
        <v>39.4</v>
      </c>
    </row>
    <row r="193" spans="2:45" x14ac:dyDescent="0.3">
      <c r="B193" s="2" t="s">
        <v>190</v>
      </c>
      <c r="C193">
        <v>1</v>
      </c>
      <c r="AR193" s="2" t="s">
        <v>191</v>
      </c>
      <c r="AS193">
        <v>22.9</v>
      </c>
    </row>
    <row r="194" spans="2:45" x14ac:dyDescent="0.3">
      <c r="B194" s="2" t="s">
        <v>191</v>
      </c>
      <c r="C194">
        <v>1</v>
      </c>
      <c r="AR194" s="2" t="s">
        <v>192</v>
      </c>
      <c r="AS194">
        <v>36.200000000000003</v>
      </c>
    </row>
    <row r="195" spans="2:45" x14ac:dyDescent="0.3">
      <c r="B195" s="2" t="s">
        <v>192</v>
      </c>
      <c r="C195">
        <v>1</v>
      </c>
      <c r="AR195" s="2" t="s">
        <v>193</v>
      </c>
      <c r="AS195">
        <v>33.4</v>
      </c>
    </row>
    <row r="196" spans="2:45" x14ac:dyDescent="0.3">
      <c r="B196" s="2" t="s">
        <v>193</v>
      </c>
      <c r="C196">
        <v>1</v>
      </c>
      <c r="AR196" s="2" t="s">
        <v>194</v>
      </c>
      <c r="AS196">
        <v>23.4</v>
      </c>
    </row>
    <row r="197" spans="2:45" x14ac:dyDescent="0.3">
      <c r="B197" s="2" t="s">
        <v>194</v>
      </c>
      <c r="C197">
        <v>1</v>
      </c>
      <c r="AR197" s="2" t="s">
        <v>195</v>
      </c>
      <c r="AS197">
        <v>28</v>
      </c>
    </row>
    <row r="198" spans="2:45" x14ac:dyDescent="0.3">
      <c r="B198" s="2" t="s">
        <v>195</v>
      </c>
      <c r="C198">
        <v>1</v>
      </c>
      <c r="AR198" s="2" t="s">
        <v>196</v>
      </c>
      <c r="AS198">
        <v>32.200000000000003</v>
      </c>
    </row>
    <row r="199" spans="2:45" x14ac:dyDescent="0.3">
      <c r="B199" s="2" t="s">
        <v>196</v>
      </c>
      <c r="C199">
        <v>1</v>
      </c>
      <c r="AR199" s="2" t="s">
        <v>197</v>
      </c>
      <c r="AS199">
        <v>30.7</v>
      </c>
    </row>
    <row r="200" spans="2:45" x14ac:dyDescent="0.3">
      <c r="B200" s="2" t="s">
        <v>197</v>
      </c>
      <c r="C200">
        <v>1</v>
      </c>
      <c r="AR200" s="2" t="s">
        <v>198</v>
      </c>
      <c r="AS200">
        <v>28.8</v>
      </c>
    </row>
    <row r="201" spans="2:45" x14ac:dyDescent="0.3">
      <c r="B201" s="2" t="s">
        <v>198</v>
      </c>
      <c r="C201">
        <v>1</v>
      </c>
      <c r="AR201" s="2" t="s">
        <v>199</v>
      </c>
      <c r="AS201">
        <v>46.7</v>
      </c>
    </row>
    <row r="202" spans="2:45" x14ac:dyDescent="0.3">
      <c r="B202" s="2" t="s">
        <v>199</v>
      </c>
      <c r="C202">
        <v>1</v>
      </c>
      <c r="AR202" s="2" t="s">
        <v>200</v>
      </c>
      <c r="AS202">
        <v>33.799999999999997</v>
      </c>
    </row>
    <row r="203" spans="2:45" x14ac:dyDescent="0.3">
      <c r="B203" s="2" t="s">
        <v>200</v>
      </c>
      <c r="C203">
        <v>1</v>
      </c>
      <c r="AR203" s="2" t="s">
        <v>201</v>
      </c>
      <c r="AS203">
        <v>42.7</v>
      </c>
    </row>
    <row r="204" spans="2:45" x14ac:dyDescent="0.3">
      <c r="B204" s="2" t="s">
        <v>201</v>
      </c>
      <c r="C204">
        <v>1</v>
      </c>
      <c r="AR204" s="2" t="s">
        <v>202</v>
      </c>
      <c r="AS204">
        <v>40.4</v>
      </c>
    </row>
    <row r="205" spans="2:45" x14ac:dyDescent="0.3">
      <c r="B205" s="2" t="s">
        <v>202</v>
      </c>
      <c r="C205">
        <v>1</v>
      </c>
      <c r="AR205" s="2" t="s">
        <v>203</v>
      </c>
      <c r="AS205">
        <v>28.2</v>
      </c>
    </row>
    <row r="206" spans="2:45" x14ac:dyDescent="0.3">
      <c r="B206" s="2" t="s">
        <v>203</v>
      </c>
      <c r="C206">
        <v>1</v>
      </c>
      <c r="AR206" s="2" t="s">
        <v>204</v>
      </c>
      <c r="AS206">
        <v>42</v>
      </c>
    </row>
    <row r="207" spans="2:45" x14ac:dyDescent="0.3">
      <c r="B207" s="2" t="s">
        <v>204</v>
      </c>
      <c r="C207">
        <v>1</v>
      </c>
      <c r="AR207" s="2" t="s">
        <v>205</v>
      </c>
      <c r="AS207">
        <v>37.799999999999997</v>
      </c>
    </row>
    <row r="208" spans="2:45" x14ac:dyDescent="0.3">
      <c r="B208" s="2" t="s">
        <v>205</v>
      </c>
      <c r="C208">
        <v>1</v>
      </c>
      <c r="AR208" s="2" t="s">
        <v>206</v>
      </c>
      <c r="AS208">
        <v>6790.9999999999982</v>
      </c>
    </row>
    <row r="209" spans="2:3" x14ac:dyDescent="0.3">
      <c r="B209" s="2" t="s">
        <v>206</v>
      </c>
      <c r="C209">
        <v>200</v>
      </c>
    </row>
  </sheetData>
  <pageMargins left="0.511811024" right="0.511811024" top="0.78740157499999996" bottom="0.78740157499999996" header="0.31496062000000002" footer="0.31496062000000002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3AF48-AE2B-4088-9D26-C579238C5E01}">
  <dimension ref="A1"/>
  <sheetViews>
    <sheetView showGridLines="0" zoomScale="63" workbookViewId="0">
      <selection activeCell="R20" sqref="R20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BAF6E-B9E6-4624-9081-294FD991749D}">
  <dimension ref="A1:G18"/>
  <sheetViews>
    <sheetView showGridLines="0" tabSelected="1" workbookViewId="0">
      <selection activeCell="I3" sqref="I3"/>
    </sheetView>
  </sheetViews>
  <sheetFormatPr defaultRowHeight="14.4" x14ac:dyDescent="0.3"/>
  <cols>
    <col min="1" max="1" width="14.6640625" customWidth="1"/>
    <col min="2" max="6" width="12" bestFit="1" customWidth="1"/>
  </cols>
  <sheetData>
    <row r="1" spans="1:7" x14ac:dyDescent="0.3">
      <c r="A1" t="s">
        <v>247</v>
      </c>
    </row>
    <row r="3" spans="1:7" ht="15" thickBot="1" x14ac:dyDescent="0.35">
      <c r="A3" s="10" t="s">
        <v>248</v>
      </c>
      <c r="B3" s="10"/>
      <c r="D3" s="10"/>
      <c r="E3" s="10"/>
    </row>
    <row r="4" spans="1:7" ht="15" thickTop="1" x14ac:dyDescent="0.3">
      <c r="A4" t="s">
        <v>249</v>
      </c>
      <c r="B4">
        <f>SQRT(B5)</f>
        <v>0.77675143497896082</v>
      </c>
      <c r="D4" t="s">
        <v>254</v>
      </c>
      <c r="E4">
        <f>B8*LN(C13/B8)+2*(B12+1)</f>
        <v>584.21468673319498</v>
      </c>
    </row>
    <row r="5" spans="1:7" x14ac:dyDescent="0.3">
      <c r="A5" t="s">
        <v>250</v>
      </c>
      <c r="B5">
        <f>C12/C14</f>
        <v>0.60334279174187488</v>
      </c>
      <c r="D5" t="s">
        <v>255</v>
      </c>
      <c r="E5">
        <f>E4+2*(B12+2)*(B12+3)/(B8-B12-3)</f>
        <v>584.33713571278679</v>
      </c>
    </row>
    <row r="6" spans="1:7" x14ac:dyDescent="0.3">
      <c r="A6" t="s">
        <v>251</v>
      </c>
      <c r="B6">
        <f>1-(1-B5)*(B8-1)/(B8-B12-1)</f>
        <v>0.60133947250824793</v>
      </c>
      <c r="D6" s="8" t="s">
        <v>256</v>
      </c>
      <c r="E6" s="8">
        <f>B8*LN(C13/B8)+(B12+1)*LN(B8)</f>
        <v>590.81132146629102</v>
      </c>
    </row>
    <row r="7" spans="1:7" x14ac:dyDescent="0.3">
      <c r="A7" t="s">
        <v>252</v>
      </c>
      <c r="B7">
        <f>SQRT(D13)</f>
        <v>4.2868915280282227</v>
      </c>
    </row>
    <row r="8" spans="1:7" x14ac:dyDescent="0.3">
      <c r="A8" s="8" t="s">
        <v>253</v>
      </c>
      <c r="B8" s="8">
        <f>COUNT(student_exam_scores!F2:F201)</f>
        <v>200</v>
      </c>
    </row>
    <row r="10" spans="1:7" ht="15" thickBot="1" x14ac:dyDescent="0.35">
      <c r="A10" t="s">
        <v>257</v>
      </c>
      <c r="E10" s="9" t="s">
        <v>245</v>
      </c>
      <c r="F10" s="9">
        <v>0.05</v>
      </c>
    </row>
    <row r="11" spans="1:7" ht="15" thickTop="1" x14ac:dyDescent="0.3">
      <c r="A11" s="7"/>
      <c r="B11" s="7" t="s">
        <v>258</v>
      </c>
      <c r="C11" s="7" t="s">
        <v>259</v>
      </c>
      <c r="D11" s="7" t="s">
        <v>260</v>
      </c>
      <c r="E11" s="7" t="s">
        <v>261</v>
      </c>
      <c r="F11" s="7" t="s">
        <v>262</v>
      </c>
      <c r="G11" s="7" t="s">
        <v>263</v>
      </c>
    </row>
    <row r="12" spans="1:7" x14ac:dyDescent="0.3">
      <c r="A12" t="s">
        <v>264</v>
      </c>
      <c r="B12">
        <f>COUNT(student_exam_scores!B2)</f>
        <v>1</v>
      </c>
      <c r="C12">
        <f>DEVSQ(MMULT([1]!DEsign(student_exam_scores!B2:B201),B17:B18))</f>
        <v>5534.7620833301326</v>
      </c>
      <c r="D12">
        <f>C12/B12</f>
        <v>5534.7620833301326</v>
      </c>
      <c r="E12">
        <f>D12/D13</f>
        <v>301.17156647548251</v>
      </c>
      <c r="F12">
        <f>_xlfn.F.DIST.RT(E12,B12,B13)</f>
        <v>1.2719809567612344E-41</v>
      </c>
      <c r="G12" s="9" t="str">
        <f>IF(F12&lt;F10,"yes","no")</f>
        <v>yes</v>
      </c>
    </row>
    <row r="13" spans="1:7" x14ac:dyDescent="0.3">
      <c r="A13" t="s">
        <v>265</v>
      </c>
      <c r="B13">
        <f>B14-B12</f>
        <v>198</v>
      </c>
      <c r="C13">
        <f>C14-C12</f>
        <v>3638.7329166698701</v>
      </c>
      <c r="D13">
        <f>C13/B13</f>
        <v>18.377438973080153</v>
      </c>
    </row>
    <row r="14" spans="1:7" x14ac:dyDescent="0.3">
      <c r="A14" s="8" t="s">
        <v>266</v>
      </c>
      <c r="B14" s="8">
        <f>B8-1</f>
        <v>199</v>
      </c>
      <c r="C14" s="8">
        <f>DEVSQ(student_exam_scores!F2:F201)</f>
        <v>9173.4950000000026</v>
      </c>
      <c r="D14" s="8"/>
      <c r="E14" s="8"/>
      <c r="F14" s="8"/>
      <c r="G14" s="8"/>
    </row>
    <row r="15" spans="1:7" ht="15" thickBot="1" x14ac:dyDescent="0.35"/>
    <row r="16" spans="1:7" ht="15" thickTop="1" x14ac:dyDescent="0.3">
      <c r="A16" s="7"/>
      <c r="B16" s="7" t="s">
        <v>267</v>
      </c>
      <c r="C16" s="7" t="s">
        <v>246</v>
      </c>
      <c r="D16" s="7" t="s">
        <v>268</v>
      </c>
      <c r="E16" s="7" t="s">
        <v>262</v>
      </c>
      <c r="F16" s="7" t="s">
        <v>243</v>
      </c>
      <c r="G16" s="7" t="s">
        <v>244</v>
      </c>
    </row>
    <row r="17" spans="1:7" x14ac:dyDescent="0.3">
      <c r="A17" t="s">
        <v>269</v>
      </c>
      <c r="B17">
        <f t="array" ref="B17:C18">[1]!RegCoeff(student_exam_scores!B2:B201,student_exam_scores!F2:F201)</f>
        <v>23.618437852039307</v>
      </c>
      <c r="C17">
        <v>0.66831890368065661</v>
      </c>
      <c r="D17">
        <f>B17/C17</f>
        <v>35.340071516703539</v>
      </c>
      <c r="E17">
        <f>_xlfn.T.DIST.2T(ABS(D17),$B$13)</f>
        <v>1.8642209832653442E-87</v>
      </c>
      <c r="F17">
        <f>B17-_xlfn.T.INV.2T(F$10,$B$13)*C17</f>
        <v>22.300501293212651</v>
      </c>
      <c r="G17">
        <f>B17+_xlfn.T.INV.2T(F$10,$B$13)*C17</f>
        <v>24.936374410865962</v>
      </c>
    </row>
    <row r="18" spans="1:7" x14ac:dyDescent="0.3">
      <c r="A18" s="8" t="str">
        <f t="array" ref="A18">TRANSPOSE(student_exam_scores!B1)</f>
        <v>hours_studied</v>
      </c>
      <c r="B18" s="8">
        <v>1.6341098961284779</v>
      </c>
      <c r="C18" s="8">
        <v>9.4161696850991267E-2</v>
      </c>
      <c r="D18" s="8">
        <f>B18/C18</f>
        <v>17.354295332149967</v>
      </c>
      <c r="E18" s="8">
        <f>_xlfn.T.DIST.2T(ABS(D18),$B$13)</f>
        <v>1.2719809567613252E-41</v>
      </c>
      <c r="F18" s="8">
        <f>B18-_xlfn.T.INV.2T(F$10,$B$13)*C18</f>
        <v>1.4484213841955991</v>
      </c>
      <c r="G18" s="8">
        <f>B18+_xlfn.T.INV.2T(F$10,$B$13)*C18</f>
        <v>1.8197984080613567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3EB03-6D0E-41FF-9670-2FB96FB8D153}">
  <dimension ref="A1:H201"/>
  <sheetViews>
    <sheetView workbookViewId="0">
      <selection activeCell="D16" sqref="D16"/>
    </sheetView>
  </sheetViews>
  <sheetFormatPr defaultRowHeight="14.4" x14ac:dyDescent="0.3"/>
  <cols>
    <col min="1" max="1" width="11.77734375" bestFit="1" customWidth="1"/>
    <col min="2" max="2" width="14.6640625" bestFit="1" customWidth="1"/>
    <col min="3" max="3" width="13" bestFit="1" customWidth="1"/>
    <col min="4" max="4" width="19.88671875" bestFit="1" customWidth="1"/>
    <col min="5" max="5" width="16.44140625" bestFit="1" customWidth="1"/>
    <col min="6" max="6" width="13.109375" bestFit="1" customWidth="1"/>
  </cols>
  <sheetData>
    <row r="1" spans="1:8" x14ac:dyDescent="0.3">
      <c r="A1" t="s">
        <v>0</v>
      </c>
      <c r="B1" t="s">
        <v>1</v>
      </c>
      <c r="C1" t="s">
        <v>2</v>
      </c>
      <c r="D1" s="6" t="s">
        <v>3</v>
      </c>
      <c r="E1" t="s">
        <v>4</v>
      </c>
      <c r="F1" t="s">
        <v>5</v>
      </c>
    </row>
    <row r="2" spans="1:8" x14ac:dyDescent="0.3">
      <c r="A2" t="s">
        <v>6</v>
      </c>
      <c r="B2" s="5">
        <v>8</v>
      </c>
      <c r="C2" s="5">
        <v>8.8000000000000007</v>
      </c>
      <c r="D2" s="6">
        <v>0.72099999999999997</v>
      </c>
      <c r="E2">
        <v>45</v>
      </c>
      <c r="F2" s="5">
        <v>30.2</v>
      </c>
      <c r="H2" s="5"/>
    </row>
    <row r="3" spans="1:8" x14ac:dyDescent="0.3">
      <c r="A3" t="s">
        <v>7</v>
      </c>
      <c r="B3" s="5">
        <v>1.3</v>
      </c>
      <c r="C3" s="5">
        <v>8.6</v>
      </c>
      <c r="D3" s="6">
        <v>0.60699999999999998</v>
      </c>
      <c r="E3">
        <v>55</v>
      </c>
      <c r="F3" s="5">
        <v>25</v>
      </c>
    </row>
    <row r="4" spans="1:8" x14ac:dyDescent="0.3">
      <c r="A4" t="s">
        <v>8</v>
      </c>
      <c r="B4" s="5">
        <v>4</v>
      </c>
      <c r="C4" s="5">
        <v>8.1999999999999993</v>
      </c>
      <c r="D4" s="6">
        <v>0.73699999999999999</v>
      </c>
      <c r="E4">
        <v>86</v>
      </c>
      <c r="F4" s="5">
        <v>35.799999999999997</v>
      </c>
    </row>
    <row r="5" spans="1:8" x14ac:dyDescent="0.3">
      <c r="A5" t="s">
        <v>9</v>
      </c>
      <c r="B5" s="5">
        <v>3.5</v>
      </c>
      <c r="C5" s="5">
        <v>4.8</v>
      </c>
      <c r="D5" s="6">
        <v>0.95099999999999996</v>
      </c>
      <c r="E5">
        <v>66</v>
      </c>
      <c r="F5" s="5">
        <v>34</v>
      </c>
    </row>
    <row r="6" spans="1:8" x14ac:dyDescent="0.3">
      <c r="A6" t="s">
        <v>10</v>
      </c>
      <c r="B6" s="5">
        <v>9.1</v>
      </c>
      <c r="C6" s="5">
        <v>6.4</v>
      </c>
      <c r="D6" s="6">
        <v>0.89800000000000002</v>
      </c>
      <c r="E6">
        <v>71</v>
      </c>
      <c r="F6" s="5">
        <v>40.299999999999997</v>
      </c>
    </row>
    <row r="7" spans="1:8" x14ac:dyDescent="0.3">
      <c r="A7" t="s">
        <v>11</v>
      </c>
      <c r="B7" s="5">
        <v>8.4</v>
      </c>
      <c r="C7" s="5">
        <v>5.0999999999999996</v>
      </c>
      <c r="D7" s="6">
        <v>0.58499999999999996</v>
      </c>
      <c r="E7">
        <v>75</v>
      </c>
      <c r="F7" s="5">
        <v>35.700000000000003</v>
      </c>
    </row>
    <row r="8" spans="1:8" x14ac:dyDescent="0.3">
      <c r="A8" t="s">
        <v>12</v>
      </c>
      <c r="B8" s="5">
        <v>10.8</v>
      </c>
      <c r="C8" s="5">
        <v>6</v>
      </c>
      <c r="D8" s="6">
        <v>0.54200000000000004</v>
      </c>
      <c r="E8">
        <v>88</v>
      </c>
      <c r="F8" s="5">
        <v>37.9</v>
      </c>
    </row>
    <row r="9" spans="1:8" x14ac:dyDescent="0.3">
      <c r="A9" t="s">
        <v>13</v>
      </c>
      <c r="B9" s="5">
        <v>2</v>
      </c>
      <c r="C9" s="5">
        <v>4.3</v>
      </c>
      <c r="D9" s="6">
        <v>0.75800000000000001</v>
      </c>
      <c r="E9">
        <v>55</v>
      </c>
      <c r="F9" s="5">
        <v>18.3</v>
      </c>
    </row>
    <row r="10" spans="1:8" x14ac:dyDescent="0.3">
      <c r="A10" t="s">
        <v>14</v>
      </c>
      <c r="B10" s="5">
        <v>5.6</v>
      </c>
      <c r="C10" s="5">
        <v>5.9</v>
      </c>
      <c r="D10" s="6">
        <v>0.81599999999999995</v>
      </c>
      <c r="E10">
        <v>84</v>
      </c>
      <c r="F10" s="5">
        <v>34.700000000000003</v>
      </c>
    </row>
    <row r="11" spans="1:8" x14ac:dyDescent="0.3">
      <c r="A11" t="s">
        <v>15</v>
      </c>
      <c r="B11" s="5">
        <v>1.3</v>
      </c>
      <c r="C11" s="5">
        <v>8.9</v>
      </c>
      <c r="D11" s="6">
        <v>0.66799999999999993</v>
      </c>
      <c r="E11">
        <v>70</v>
      </c>
      <c r="F11" s="5">
        <v>24.7</v>
      </c>
    </row>
    <row r="12" spans="1:8" x14ac:dyDescent="0.3">
      <c r="A12" t="s">
        <v>16</v>
      </c>
      <c r="B12" s="5">
        <v>3.4</v>
      </c>
      <c r="C12" s="5">
        <v>5.3</v>
      </c>
      <c r="D12" s="6">
        <v>0.90900000000000003</v>
      </c>
      <c r="E12">
        <v>81</v>
      </c>
      <c r="F12" s="5">
        <v>29.3</v>
      </c>
    </row>
    <row r="13" spans="1:8" x14ac:dyDescent="0.3">
      <c r="A13" t="s">
        <v>17</v>
      </c>
      <c r="B13" s="5">
        <v>6.6</v>
      </c>
      <c r="C13" s="5">
        <v>7.9</v>
      </c>
      <c r="D13" s="6">
        <v>0.87599999999999989</v>
      </c>
      <c r="E13">
        <v>85</v>
      </c>
      <c r="F13" s="5">
        <v>35.1</v>
      </c>
    </row>
    <row r="14" spans="1:8" x14ac:dyDescent="0.3">
      <c r="A14" t="s">
        <v>18</v>
      </c>
      <c r="B14" s="5">
        <v>1.3</v>
      </c>
      <c r="C14" s="5">
        <v>6.3</v>
      </c>
      <c r="D14" s="6">
        <v>0.83599999999999997</v>
      </c>
      <c r="E14">
        <v>71</v>
      </c>
      <c r="F14" s="5">
        <v>31.2</v>
      </c>
    </row>
    <row r="15" spans="1:8" x14ac:dyDescent="0.3">
      <c r="A15" t="s">
        <v>19</v>
      </c>
      <c r="B15" s="5">
        <v>3.2</v>
      </c>
      <c r="C15" s="5">
        <v>6.1</v>
      </c>
      <c r="D15" s="6">
        <v>0.61199999999999999</v>
      </c>
      <c r="E15">
        <v>68</v>
      </c>
      <c r="F15" s="5">
        <v>30.2</v>
      </c>
    </row>
    <row r="16" spans="1:8" x14ac:dyDescent="0.3">
      <c r="A16" t="s">
        <v>20</v>
      </c>
      <c r="B16" s="5">
        <v>8.1</v>
      </c>
      <c r="C16" s="5">
        <v>8.8000000000000007</v>
      </c>
      <c r="D16" s="6">
        <v>0.6</v>
      </c>
      <c r="E16">
        <v>90</v>
      </c>
      <c r="F16" s="5">
        <v>41.1</v>
      </c>
    </row>
    <row r="17" spans="1:6" x14ac:dyDescent="0.3">
      <c r="A17" t="s">
        <v>21</v>
      </c>
      <c r="B17" s="5">
        <v>7</v>
      </c>
      <c r="C17" s="5">
        <v>9</v>
      </c>
      <c r="D17" s="6">
        <v>0.51200000000000001</v>
      </c>
      <c r="E17">
        <v>41</v>
      </c>
      <c r="F17" s="5">
        <v>34.1</v>
      </c>
    </row>
    <row r="18" spans="1:6" x14ac:dyDescent="0.3">
      <c r="A18" t="s">
        <v>22</v>
      </c>
      <c r="B18" s="5">
        <v>3.4</v>
      </c>
      <c r="C18" s="5">
        <v>6.8</v>
      </c>
      <c r="D18" s="6">
        <v>0.622</v>
      </c>
      <c r="E18">
        <v>45</v>
      </c>
      <c r="F18" s="5">
        <v>28.9</v>
      </c>
    </row>
    <row r="19" spans="1:6" x14ac:dyDescent="0.3">
      <c r="A19" t="s">
        <v>23</v>
      </c>
      <c r="B19" s="5">
        <v>7.5</v>
      </c>
      <c r="C19" s="5">
        <v>7.6</v>
      </c>
      <c r="D19" s="6">
        <v>0.73799999999999999</v>
      </c>
      <c r="E19">
        <v>58</v>
      </c>
      <c r="F19" s="5">
        <v>36.299999999999997</v>
      </c>
    </row>
    <row r="20" spans="1:6" x14ac:dyDescent="0.3">
      <c r="A20" t="s">
        <v>24</v>
      </c>
      <c r="B20" s="5">
        <v>9.9</v>
      </c>
      <c r="C20" s="5">
        <v>4.8</v>
      </c>
      <c r="D20" s="6">
        <v>0.92500000000000004</v>
      </c>
      <c r="E20">
        <v>54</v>
      </c>
      <c r="F20" s="5">
        <v>35.6</v>
      </c>
    </row>
    <row r="21" spans="1:6" x14ac:dyDescent="0.3">
      <c r="A21" t="s">
        <v>25</v>
      </c>
      <c r="B21" s="5">
        <v>1.1000000000000001</v>
      </c>
      <c r="C21" s="5">
        <v>5.5</v>
      </c>
      <c r="D21" s="6">
        <v>0.53600000000000003</v>
      </c>
      <c r="E21">
        <v>65</v>
      </c>
      <c r="F21" s="5">
        <v>17.100000000000001</v>
      </c>
    </row>
    <row r="22" spans="1:6" x14ac:dyDescent="0.3">
      <c r="A22" t="s">
        <v>26</v>
      </c>
      <c r="B22" s="5">
        <v>9.9</v>
      </c>
      <c r="C22" s="5">
        <v>8.8000000000000007</v>
      </c>
      <c r="D22" s="6">
        <v>0.70700000000000007</v>
      </c>
      <c r="E22">
        <v>84</v>
      </c>
      <c r="F22" s="5">
        <v>46</v>
      </c>
    </row>
    <row r="23" spans="1:6" x14ac:dyDescent="0.3">
      <c r="A23" t="s">
        <v>27</v>
      </c>
      <c r="B23" s="5">
        <v>8.6999999999999993</v>
      </c>
      <c r="C23" s="5">
        <v>6.9</v>
      </c>
      <c r="D23" s="6">
        <v>0.81499999999999995</v>
      </c>
      <c r="E23">
        <v>55</v>
      </c>
      <c r="F23" s="5">
        <v>36.1</v>
      </c>
    </row>
    <row r="24" spans="1:6" x14ac:dyDescent="0.3">
      <c r="A24" t="s">
        <v>28</v>
      </c>
      <c r="B24" s="5">
        <v>4.7</v>
      </c>
      <c r="C24" s="5">
        <v>6.7</v>
      </c>
      <c r="D24" s="6">
        <v>0.59699999999999998</v>
      </c>
      <c r="E24">
        <v>59</v>
      </c>
      <c r="F24" s="5">
        <v>29.6</v>
      </c>
    </row>
    <row r="25" spans="1:6" x14ac:dyDescent="0.3">
      <c r="A25" t="s">
        <v>29</v>
      </c>
      <c r="B25" s="5">
        <v>2.7</v>
      </c>
      <c r="C25" s="5">
        <v>7.7</v>
      </c>
      <c r="D25" s="6">
        <v>0.84799999999999998</v>
      </c>
      <c r="E25">
        <v>82</v>
      </c>
      <c r="F25" s="5">
        <v>35.9</v>
      </c>
    </row>
    <row r="26" spans="1:6" x14ac:dyDescent="0.3">
      <c r="A26" t="s">
        <v>30</v>
      </c>
      <c r="B26" s="5">
        <v>11.5</v>
      </c>
      <c r="C26" s="5">
        <v>4.3</v>
      </c>
      <c r="D26" s="6">
        <v>0.747</v>
      </c>
      <c r="E26">
        <v>77</v>
      </c>
      <c r="F26" s="5">
        <v>39.200000000000003</v>
      </c>
    </row>
    <row r="27" spans="1:6" x14ac:dyDescent="0.3">
      <c r="A27" t="s">
        <v>31</v>
      </c>
      <c r="B27" s="5">
        <v>4.7</v>
      </c>
      <c r="C27" s="5">
        <v>6.9</v>
      </c>
      <c r="D27" s="6">
        <v>0.622</v>
      </c>
      <c r="E27">
        <v>63</v>
      </c>
      <c r="F27" s="5">
        <v>30</v>
      </c>
    </row>
    <row r="28" spans="1:6" x14ac:dyDescent="0.3">
      <c r="A28" t="s">
        <v>32</v>
      </c>
      <c r="B28" s="5">
        <v>2</v>
      </c>
      <c r="C28" s="5">
        <v>6.5</v>
      </c>
      <c r="D28" s="6">
        <v>0.82799999999999996</v>
      </c>
      <c r="E28">
        <v>70</v>
      </c>
      <c r="F28" s="5">
        <v>29</v>
      </c>
    </row>
    <row r="29" spans="1:6" x14ac:dyDescent="0.3">
      <c r="A29" t="s">
        <v>33</v>
      </c>
      <c r="B29" s="5">
        <v>2.1</v>
      </c>
      <c r="C29" s="5">
        <v>8.3000000000000007</v>
      </c>
      <c r="D29" s="6">
        <v>0.503</v>
      </c>
      <c r="E29">
        <v>75</v>
      </c>
      <c r="F29" s="5">
        <v>26.5</v>
      </c>
    </row>
    <row r="30" spans="1:6" x14ac:dyDescent="0.3">
      <c r="A30" t="s">
        <v>34</v>
      </c>
      <c r="B30" s="5">
        <v>10.3</v>
      </c>
      <c r="C30" s="5">
        <v>4.8</v>
      </c>
      <c r="D30" s="6">
        <v>0.875</v>
      </c>
      <c r="E30">
        <v>73</v>
      </c>
      <c r="F30" s="5">
        <v>37.200000000000003</v>
      </c>
    </row>
    <row r="31" spans="1:6" x14ac:dyDescent="0.3">
      <c r="A31" t="s">
        <v>35</v>
      </c>
      <c r="B31" s="5">
        <v>7.6</v>
      </c>
      <c r="C31" s="5">
        <v>8.8000000000000007</v>
      </c>
      <c r="D31" s="6">
        <v>0.88500000000000001</v>
      </c>
      <c r="E31">
        <v>62</v>
      </c>
      <c r="F31" s="5">
        <v>36.200000000000003</v>
      </c>
    </row>
    <row r="32" spans="1:6" x14ac:dyDescent="0.3">
      <c r="A32" t="s">
        <v>36</v>
      </c>
      <c r="B32" s="5">
        <v>9.9</v>
      </c>
      <c r="C32" s="5">
        <v>4.4000000000000004</v>
      </c>
      <c r="D32" s="6">
        <v>0.55299999999999994</v>
      </c>
      <c r="E32">
        <v>67</v>
      </c>
      <c r="F32" s="5">
        <v>34.5</v>
      </c>
    </row>
    <row r="33" spans="1:6" x14ac:dyDescent="0.3">
      <c r="A33" t="s">
        <v>37</v>
      </c>
      <c r="B33" s="5">
        <v>9</v>
      </c>
      <c r="C33" s="5">
        <v>4.9000000000000004</v>
      </c>
      <c r="D33" s="6">
        <v>0.71299999999999997</v>
      </c>
      <c r="E33">
        <v>87</v>
      </c>
      <c r="F33" s="5">
        <v>41.6</v>
      </c>
    </row>
    <row r="34" spans="1:6" x14ac:dyDescent="0.3">
      <c r="A34" t="s">
        <v>38</v>
      </c>
      <c r="B34" s="5">
        <v>6.9</v>
      </c>
      <c r="C34" s="5">
        <v>7</v>
      </c>
      <c r="D34" s="6">
        <v>0.58799999999999997</v>
      </c>
      <c r="E34">
        <v>75</v>
      </c>
      <c r="F34" s="5">
        <v>38.1</v>
      </c>
    </row>
    <row r="35" spans="1:6" x14ac:dyDescent="0.3">
      <c r="A35" t="s">
        <v>39</v>
      </c>
      <c r="B35" s="5">
        <v>11.7</v>
      </c>
      <c r="C35" s="5">
        <v>7.4</v>
      </c>
      <c r="D35" s="6">
        <v>0.97900000000000009</v>
      </c>
      <c r="E35">
        <v>61</v>
      </c>
      <c r="F35" s="5">
        <v>42.7</v>
      </c>
    </row>
    <row r="36" spans="1:6" x14ac:dyDescent="0.3">
      <c r="A36" t="s">
        <v>40</v>
      </c>
      <c r="B36" s="5">
        <v>5.2</v>
      </c>
      <c r="C36" s="5">
        <v>5.2</v>
      </c>
      <c r="D36" s="6">
        <v>0.75900000000000001</v>
      </c>
      <c r="E36">
        <v>62</v>
      </c>
      <c r="F36" s="5">
        <v>32</v>
      </c>
    </row>
    <row r="37" spans="1:6" x14ac:dyDescent="0.3">
      <c r="A37" t="s">
        <v>41</v>
      </c>
      <c r="B37" s="5">
        <v>7.1</v>
      </c>
      <c r="C37" s="5">
        <v>4.5999999999999996</v>
      </c>
      <c r="D37" s="6">
        <v>0.52500000000000002</v>
      </c>
      <c r="E37">
        <v>84</v>
      </c>
      <c r="F37" s="5">
        <v>32</v>
      </c>
    </row>
    <row r="38" spans="1:6" x14ac:dyDescent="0.3">
      <c r="A38" t="s">
        <v>42</v>
      </c>
      <c r="B38" s="5">
        <v>10.1</v>
      </c>
      <c r="C38" s="5">
        <v>8.5</v>
      </c>
      <c r="D38" s="6">
        <v>0.625</v>
      </c>
      <c r="E38">
        <v>69</v>
      </c>
      <c r="F38" s="5">
        <v>44.7</v>
      </c>
    </row>
    <row r="39" spans="1:6" x14ac:dyDescent="0.3">
      <c r="A39" t="s">
        <v>43</v>
      </c>
      <c r="B39" s="5">
        <v>7.8</v>
      </c>
      <c r="C39" s="5">
        <v>5.2</v>
      </c>
      <c r="D39" s="6">
        <v>0.92400000000000004</v>
      </c>
      <c r="E39">
        <v>57</v>
      </c>
      <c r="F39" s="5">
        <v>38.299999999999997</v>
      </c>
    </row>
    <row r="40" spans="1:6" x14ac:dyDescent="0.3">
      <c r="A40" t="s">
        <v>44</v>
      </c>
      <c r="B40" s="5">
        <v>10.5</v>
      </c>
      <c r="C40" s="5">
        <v>7</v>
      </c>
      <c r="D40" s="6">
        <v>0.72799999999999998</v>
      </c>
      <c r="E40">
        <v>59</v>
      </c>
      <c r="F40" s="5">
        <v>39.799999999999997</v>
      </c>
    </row>
    <row r="41" spans="1:6" x14ac:dyDescent="0.3">
      <c r="A41" t="s">
        <v>45</v>
      </c>
      <c r="B41" s="5">
        <v>7.4</v>
      </c>
      <c r="C41" s="5">
        <v>7.1</v>
      </c>
      <c r="D41" s="6">
        <v>0.90099999999999991</v>
      </c>
      <c r="E41">
        <v>56</v>
      </c>
      <c r="F41" s="5">
        <v>35</v>
      </c>
    </row>
    <row r="42" spans="1:6" x14ac:dyDescent="0.3">
      <c r="A42" t="s">
        <v>46</v>
      </c>
      <c r="B42" s="5">
        <v>8.8000000000000007</v>
      </c>
      <c r="C42" s="5">
        <v>6.1</v>
      </c>
      <c r="D42" s="6">
        <v>0.83400000000000007</v>
      </c>
      <c r="E42">
        <v>54</v>
      </c>
      <c r="F42" s="5">
        <v>34.200000000000003</v>
      </c>
    </row>
    <row r="43" spans="1:6" x14ac:dyDescent="0.3">
      <c r="A43" t="s">
        <v>47</v>
      </c>
      <c r="B43" s="5">
        <v>1.5</v>
      </c>
      <c r="C43" s="5">
        <v>6.9</v>
      </c>
      <c r="D43" s="6">
        <v>0.99400000000000011</v>
      </c>
      <c r="E43">
        <v>47</v>
      </c>
      <c r="F43" s="5">
        <v>23.1</v>
      </c>
    </row>
    <row r="44" spans="1:6" x14ac:dyDescent="0.3">
      <c r="A44" t="s">
        <v>48</v>
      </c>
      <c r="B44" s="5">
        <v>3.5</v>
      </c>
      <c r="C44" s="5">
        <v>6.6</v>
      </c>
      <c r="D44" s="6">
        <v>0.79799999999999993</v>
      </c>
      <c r="E44">
        <v>86</v>
      </c>
      <c r="F44" s="5">
        <v>37.200000000000003</v>
      </c>
    </row>
    <row r="45" spans="1:6" x14ac:dyDescent="0.3">
      <c r="A45" t="s">
        <v>49</v>
      </c>
      <c r="B45" s="5">
        <v>4.2</v>
      </c>
      <c r="C45" s="5">
        <v>8.6999999999999993</v>
      </c>
      <c r="D45" s="6">
        <v>0.97499999999999998</v>
      </c>
      <c r="E45">
        <v>52</v>
      </c>
      <c r="F45" s="5">
        <v>30.3</v>
      </c>
    </row>
    <row r="46" spans="1:6" x14ac:dyDescent="0.3">
      <c r="A46" t="s">
        <v>50</v>
      </c>
      <c r="B46" s="5">
        <v>1.9</v>
      </c>
      <c r="C46" s="5">
        <v>5</v>
      </c>
      <c r="D46" s="6">
        <v>0.94599999999999995</v>
      </c>
      <c r="E46">
        <v>60</v>
      </c>
      <c r="F46" s="5">
        <v>26.1</v>
      </c>
    </row>
    <row r="47" spans="1:6" x14ac:dyDescent="0.3">
      <c r="A47" t="s">
        <v>51</v>
      </c>
      <c r="B47" s="5">
        <v>3.6</v>
      </c>
      <c r="C47" s="5">
        <v>7.6</v>
      </c>
      <c r="D47" s="6">
        <v>0.80599999999999994</v>
      </c>
      <c r="E47">
        <v>47</v>
      </c>
      <c r="F47" s="5">
        <v>31.8</v>
      </c>
    </row>
    <row r="48" spans="1:6" x14ac:dyDescent="0.3">
      <c r="A48" t="s">
        <v>52</v>
      </c>
      <c r="B48" s="5">
        <v>2.1</v>
      </c>
      <c r="C48" s="5">
        <v>5.2</v>
      </c>
      <c r="D48" s="6">
        <v>0.86</v>
      </c>
      <c r="E48">
        <v>87</v>
      </c>
      <c r="F48" s="5">
        <v>31.6</v>
      </c>
    </row>
    <row r="49" spans="1:6" x14ac:dyDescent="0.3">
      <c r="A49" t="s">
        <v>53</v>
      </c>
      <c r="B49" s="5">
        <v>4.0999999999999996</v>
      </c>
      <c r="C49" s="5">
        <v>6</v>
      </c>
      <c r="D49" s="6">
        <v>0.752</v>
      </c>
      <c r="E49">
        <v>74</v>
      </c>
      <c r="F49" s="5">
        <v>31.1</v>
      </c>
    </row>
    <row r="50" spans="1:6" x14ac:dyDescent="0.3">
      <c r="A50" t="s">
        <v>54</v>
      </c>
      <c r="B50" s="5">
        <v>8</v>
      </c>
      <c r="C50" s="5">
        <v>7.4</v>
      </c>
      <c r="D50" s="6">
        <v>0.91500000000000004</v>
      </c>
      <c r="E50">
        <v>88</v>
      </c>
      <c r="F50" s="5">
        <v>41.2</v>
      </c>
    </row>
    <row r="51" spans="1:6" x14ac:dyDescent="0.3">
      <c r="A51" t="s">
        <v>55</v>
      </c>
      <c r="B51" s="5">
        <v>5</v>
      </c>
      <c r="C51" s="5">
        <v>5.5</v>
      </c>
      <c r="D51" s="6">
        <v>0.77400000000000002</v>
      </c>
      <c r="E51">
        <v>84</v>
      </c>
      <c r="F51" s="5">
        <v>30.6</v>
      </c>
    </row>
    <row r="52" spans="1:6" x14ac:dyDescent="0.3">
      <c r="A52" t="s">
        <v>56</v>
      </c>
      <c r="B52" s="5">
        <v>5.0999999999999996</v>
      </c>
      <c r="C52" s="5">
        <v>5.6</v>
      </c>
      <c r="D52" s="6">
        <v>0.94900000000000007</v>
      </c>
      <c r="E52">
        <v>51</v>
      </c>
      <c r="F52" s="5">
        <v>28.8</v>
      </c>
    </row>
    <row r="53" spans="1:6" x14ac:dyDescent="0.3">
      <c r="A53" t="s">
        <v>57</v>
      </c>
      <c r="B53" s="5">
        <v>3.3</v>
      </c>
      <c r="C53" s="5">
        <v>7.8</v>
      </c>
      <c r="D53" s="6">
        <v>0.872</v>
      </c>
      <c r="E53">
        <v>52</v>
      </c>
      <c r="F53" s="5">
        <v>30.7</v>
      </c>
    </row>
    <row r="54" spans="1:6" x14ac:dyDescent="0.3">
      <c r="A54" t="s">
        <v>58</v>
      </c>
      <c r="B54" s="5">
        <v>3.9</v>
      </c>
      <c r="C54" s="5">
        <v>4.4000000000000004</v>
      </c>
      <c r="D54" s="6">
        <v>0.73699999999999999</v>
      </c>
      <c r="E54">
        <v>53</v>
      </c>
      <c r="F54" s="5">
        <v>26.9</v>
      </c>
    </row>
    <row r="55" spans="1:6" x14ac:dyDescent="0.3">
      <c r="A55" t="s">
        <v>59</v>
      </c>
      <c r="B55" s="5">
        <v>11.3</v>
      </c>
      <c r="C55" s="5">
        <v>6.3</v>
      </c>
      <c r="D55" s="6">
        <v>0.63</v>
      </c>
      <c r="E55">
        <v>87</v>
      </c>
      <c r="F55" s="5">
        <v>46.4</v>
      </c>
    </row>
    <row r="56" spans="1:6" x14ac:dyDescent="0.3">
      <c r="A56" t="s">
        <v>60</v>
      </c>
      <c r="B56" s="5">
        <v>8.1</v>
      </c>
      <c r="C56" s="5">
        <v>9</v>
      </c>
      <c r="D56" s="6">
        <v>0.624</v>
      </c>
      <c r="E56">
        <v>70</v>
      </c>
      <c r="F56" s="5">
        <v>34.4</v>
      </c>
    </row>
    <row r="57" spans="1:6" x14ac:dyDescent="0.3">
      <c r="A57" t="s">
        <v>61</v>
      </c>
      <c r="B57" s="5">
        <v>7.7</v>
      </c>
      <c r="C57" s="5">
        <v>9</v>
      </c>
      <c r="D57" s="6">
        <v>0.81900000000000006</v>
      </c>
      <c r="E57">
        <v>57</v>
      </c>
      <c r="F57" s="5">
        <v>37</v>
      </c>
    </row>
    <row r="58" spans="1:6" x14ac:dyDescent="0.3">
      <c r="A58" t="s">
        <v>62</v>
      </c>
      <c r="B58" s="5">
        <v>2.9</v>
      </c>
      <c r="C58" s="5">
        <v>4.4000000000000004</v>
      </c>
      <c r="D58" s="6">
        <v>0.88300000000000001</v>
      </c>
      <c r="E58">
        <v>86</v>
      </c>
      <c r="F58" s="5">
        <v>35.200000000000003</v>
      </c>
    </row>
    <row r="59" spans="1:6" x14ac:dyDescent="0.3">
      <c r="A59" t="s">
        <v>63</v>
      </c>
      <c r="B59" s="5">
        <v>9</v>
      </c>
      <c r="C59" s="5">
        <v>5.0999999999999996</v>
      </c>
      <c r="D59" s="6">
        <v>0.7609999999999999</v>
      </c>
      <c r="E59">
        <v>77</v>
      </c>
      <c r="F59" s="5">
        <v>38.200000000000003</v>
      </c>
    </row>
    <row r="60" spans="1:6" x14ac:dyDescent="0.3">
      <c r="A60" t="s">
        <v>64</v>
      </c>
      <c r="B60" s="5">
        <v>2.8</v>
      </c>
      <c r="C60" s="5">
        <v>5.3</v>
      </c>
      <c r="D60" s="6">
        <v>0.81299999999999994</v>
      </c>
      <c r="E60">
        <v>88</v>
      </c>
      <c r="F60" s="5">
        <v>33</v>
      </c>
    </row>
    <row r="61" spans="1:6" x14ac:dyDescent="0.3">
      <c r="A61" t="s">
        <v>65</v>
      </c>
      <c r="B61" s="5">
        <v>5.2</v>
      </c>
      <c r="C61" s="5">
        <v>8.6999999999999993</v>
      </c>
      <c r="D61" s="6">
        <v>0.63700000000000001</v>
      </c>
      <c r="E61">
        <v>73</v>
      </c>
      <c r="F61" s="5">
        <v>29.2</v>
      </c>
    </row>
    <row r="62" spans="1:6" x14ac:dyDescent="0.3">
      <c r="A62" t="s">
        <v>66</v>
      </c>
      <c r="B62" s="5">
        <v>11.9</v>
      </c>
      <c r="C62" s="5">
        <v>8.4</v>
      </c>
      <c r="D62" s="6">
        <v>0.53900000000000003</v>
      </c>
      <c r="E62">
        <v>78</v>
      </c>
      <c r="F62" s="5">
        <v>48.6</v>
      </c>
    </row>
    <row r="63" spans="1:6" x14ac:dyDescent="0.3">
      <c r="A63" t="s">
        <v>67</v>
      </c>
      <c r="B63" s="5">
        <v>8</v>
      </c>
      <c r="C63" s="5">
        <v>8.4</v>
      </c>
      <c r="D63" s="6">
        <v>0.64300000000000002</v>
      </c>
      <c r="E63">
        <v>58</v>
      </c>
      <c r="F63" s="5">
        <v>36.1</v>
      </c>
    </row>
    <row r="64" spans="1:6" x14ac:dyDescent="0.3">
      <c r="A64" t="s">
        <v>68</v>
      </c>
      <c r="B64" s="5">
        <v>7.1</v>
      </c>
      <c r="C64" s="5">
        <v>5.8</v>
      </c>
      <c r="D64" s="6">
        <v>0.63600000000000001</v>
      </c>
      <c r="E64">
        <v>46</v>
      </c>
      <c r="F64" s="5">
        <v>27.1</v>
      </c>
    </row>
    <row r="65" spans="1:6" x14ac:dyDescent="0.3">
      <c r="A65" t="s">
        <v>69</v>
      </c>
      <c r="B65" s="5">
        <v>8.5</v>
      </c>
      <c r="C65" s="5">
        <v>4.8</v>
      </c>
      <c r="D65" s="6">
        <v>0.66</v>
      </c>
      <c r="E65">
        <v>93</v>
      </c>
      <c r="F65" s="5">
        <v>36.1</v>
      </c>
    </row>
    <row r="66" spans="1:6" x14ac:dyDescent="0.3">
      <c r="A66" t="s">
        <v>70</v>
      </c>
      <c r="B66" s="5">
        <v>10.3</v>
      </c>
      <c r="C66" s="5">
        <v>8.1999999999999993</v>
      </c>
      <c r="D66" s="6">
        <v>0.77</v>
      </c>
      <c r="E66">
        <v>52</v>
      </c>
      <c r="F66" s="5">
        <v>39.5</v>
      </c>
    </row>
    <row r="67" spans="1:6" x14ac:dyDescent="0.3">
      <c r="A67" t="s">
        <v>71</v>
      </c>
      <c r="B67" s="5">
        <v>9.5</v>
      </c>
      <c r="C67" s="5">
        <v>7.5</v>
      </c>
      <c r="D67" s="6">
        <v>0.56899999999999995</v>
      </c>
      <c r="E67">
        <v>58</v>
      </c>
      <c r="F67" s="5">
        <v>36.700000000000003</v>
      </c>
    </row>
    <row r="68" spans="1:6" x14ac:dyDescent="0.3">
      <c r="A68" t="s">
        <v>72</v>
      </c>
      <c r="B68" s="5">
        <v>3.5</v>
      </c>
      <c r="C68" s="5">
        <v>7.1</v>
      </c>
      <c r="D68" s="6">
        <v>0.61599999999999999</v>
      </c>
      <c r="E68">
        <v>54</v>
      </c>
      <c r="F68" s="5">
        <v>21.7</v>
      </c>
    </row>
    <row r="69" spans="1:6" x14ac:dyDescent="0.3">
      <c r="A69" t="s">
        <v>73</v>
      </c>
      <c r="B69" s="5">
        <v>1.4</v>
      </c>
      <c r="C69" s="5">
        <v>8.9</v>
      </c>
      <c r="D69" s="6">
        <v>0.84699999999999998</v>
      </c>
      <c r="E69">
        <v>63</v>
      </c>
      <c r="F69" s="5">
        <v>32.200000000000003</v>
      </c>
    </row>
    <row r="70" spans="1:6" x14ac:dyDescent="0.3">
      <c r="A70" t="s">
        <v>74</v>
      </c>
      <c r="B70" s="5">
        <v>4.5</v>
      </c>
      <c r="C70" s="5">
        <v>7.3</v>
      </c>
      <c r="D70" s="6">
        <v>0.85299999999999998</v>
      </c>
      <c r="E70">
        <v>51</v>
      </c>
      <c r="F70" s="5">
        <v>33.5</v>
      </c>
    </row>
    <row r="71" spans="1:6" x14ac:dyDescent="0.3">
      <c r="A71" t="s">
        <v>75</v>
      </c>
      <c r="B71" s="5">
        <v>3.9</v>
      </c>
      <c r="C71" s="5">
        <v>4</v>
      </c>
      <c r="D71" s="6">
        <v>0.53200000000000003</v>
      </c>
      <c r="E71">
        <v>59</v>
      </c>
      <c r="F71" s="5">
        <v>23.9</v>
      </c>
    </row>
    <row r="72" spans="1:6" x14ac:dyDescent="0.3">
      <c r="A72" t="s">
        <v>76</v>
      </c>
      <c r="B72" s="5">
        <v>3.3</v>
      </c>
      <c r="C72" s="5">
        <v>8.1</v>
      </c>
      <c r="D72" s="6">
        <v>0.70400000000000007</v>
      </c>
      <c r="E72">
        <v>40</v>
      </c>
      <c r="F72" s="5">
        <v>20.8</v>
      </c>
    </row>
    <row r="73" spans="1:6" x14ac:dyDescent="0.3">
      <c r="A73" t="s">
        <v>77</v>
      </c>
      <c r="B73" s="5">
        <v>11.4</v>
      </c>
      <c r="C73" s="5">
        <v>5.5</v>
      </c>
      <c r="D73" s="6">
        <v>0.77099999999999991</v>
      </c>
      <c r="E73">
        <v>85</v>
      </c>
      <c r="F73" s="5">
        <v>47.9</v>
      </c>
    </row>
    <row r="74" spans="1:6" x14ac:dyDescent="0.3">
      <c r="A74" t="s">
        <v>78</v>
      </c>
      <c r="B74" s="5">
        <v>10.6</v>
      </c>
      <c r="C74" s="5">
        <v>7.3</v>
      </c>
      <c r="D74" s="6">
        <v>0.70799999999999996</v>
      </c>
      <c r="E74">
        <v>74</v>
      </c>
      <c r="F74" s="5">
        <v>41.9</v>
      </c>
    </row>
    <row r="75" spans="1:6" x14ac:dyDescent="0.3">
      <c r="A75" t="s">
        <v>79</v>
      </c>
      <c r="B75" s="5">
        <v>4.5</v>
      </c>
      <c r="C75" s="5">
        <v>8.6999999999999993</v>
      </c>
      <c r="D75" s="6">
        <v>0.60299999999999998</v>
      </c>
      <c r="E75">
        <v>48</v>
      </c>
      <c r="F75" s="5">
        <v>29.5</v>
      </c>
    </row>
    <row r="76" spans="1:6" x14ac:dyDescent="0.3">
      <c r="A76" t="s">
        <v>80</v>
      </c>
      <c r="B76" s="5">
        <v>8.1999999999999993</v>
      </c>
      <c r="C76" s="5">
        <v>4.7</v>
      </c>
      <c r="D76" s="6">
        <v>0.71</v>
      </c>
      <c r="E76">
        <v>57</v>
      </c>
      <c r="F76" s="5">
        <v>33.5</v>
      </c>
    </row>
    <row r="77" spans="1:6" x14ac:dyDescent="0.3">
      <c r="A77" t="s">
        <v>81</v>
      </c>
      <c r="B77" s="5">
        <v>5.4</v>
      </c>
      <c r="C77" s="5">
        <v>4.5999999999999996</v>
      </c>
      <c r="D77" s="6">
        <v>0.95200000000000007</v>
      </c>
      <c r="E77">
        <v>42</v>
      </c>
      <c r="F77" s="5">
        <v>26.3</v>
      </c>
    </row>
    <row r="78" spans="1:6" x14ac:dyDescent="0.3">
      <c r="A78" t="s">
        <v>82</v>
      </c>
      <c r="B78" s="5">
        <v>11.1</v>
      </c>
      <c r="C78" s="5">
        <v>4.5</v>
      </c>
      <c r="D78" s="6">
        <v>0.79200000000000004</v>
      </c>
      <c r="E78">
        <v>43</v>
      </c>
      <c r="F78" s="5">
        <v>39.9</v>
      </c>
    </row>
    <row r="79" spans="1:6" x14ac:dyDescent="0.3">
      <c r="A79" t="s">
        <v>83</v>
      </c>
      <c r="B79" s="5">
        <v>6</v>
      </c>
      <c r="C79" s="5">
        <v>6.8</v>
      </c>
      <c r="D79" s="6">
        <v>0.84799999999999998</v>
      </c>
      <c r="E79">
        <v>75</v>
      </c>
      <c r="F79" s="5">
        <v>40.299999999999997</v>
      </c>
    </row>
    <row r="80" spans="1:6" x14ac:dyDescent="0.3">
      <c r="A80" t="s">
        <v>84</v>
      </c>
      <c r="B80" s="5">
        <v>3.9</v>
      </c>
      <c r="C80" s="5">
        <v>5.4</v>
      </c>
      <c r="D80" s="6">
        <v>0.92799999999999994</v>
      </c>
      <c r="E80">
        <v>58</v>
      </c>
      <c r="F80" s="5">
        <v>26.5</v>
      </c>
    </row>
    <row r="81" spans="1:6" x14ac:dyDescent="0.3">
      <c r="A81" t="s">
        <v>85</v>
      </c>
      <c r="B81" s="5">
        <v>3.7</v>
      </c>
      <c r="C81" s="5">
        <v>7</v>
      </c>
      <c r="D81" s="6">
        <v>0.88300000000000001</v>
      </c>
      <c r="E81">
        <v>84</v>
      </c>
      <c r="F81" s="5">
        <v>34.200000000000003</v>
      </c>
    </row>
    <row r="82" spans="1:6" x14ac:dyDescent="0.3">
      <c r="A82" t="s">
        <v>86</v>
      </c>
      <c r="B82" s="5">
        <v>7.2</v>
      </c>
      <c r="C82" s="5">
        <v>7.6</v>
      </c>
      <c r="D82" s="6">
        <v>0.69</v>
      </c>
      <c r="E82">
        <v>48</v>
      </c>
      <c r="F82" s="5">
        <v>30.8</v>
      </c>
    </row>
    <row r="83" spans="1:6" x14ac:dyDescent="0.3">
      <c r="A83" t="s">
        <v>87</v>
      </c>
      <c r="B83" s="5">
        <v>3.9</v>
      </c>
      <c r="C83" s="5">
        <v>5</v>
      </c>
      <c r="D83" s="6">
        <v>0.503</v>
      </c>
      <c r="E83">
        <v>80</v>
      </c>
      <c r="F83" s="5">
        <v>32.4</v>
      </c>
    </row>
    <row r="84" spans="1:6" x14ac:dyDescent="0.3">
      <c r="A84" t="s">
        <v>88</v>
      </c>
      <c r="B84" s="5">
        <v>7.4</v>
      </c>
      <c r="C84" s="5">
        <v>7.2</v>
      </c>
      <c r="D84" s="6">
        <v>0.67599999999999993</v>
      </c>
      <c r="E84">
        <v>95</v>
      </c>
      <c r="F84" s="5">
        <v>39.799999999999997</v>
      </c>
    </row>
    <row r="85" spans="1:6" x14ac:dyDescent="0.3">
      <c r="A85" t="s">
        <v>89</v>
      </c>
      <c r="B85" s="5">
        <v>10.9</v>
      </c>
      <c r="C85" s="5">
        <v>5.3</v>
      </c>
      <c r="D85" s="6">
        <v>0.877</v>
      </c>
      <c r="E85">
        <v>88</v>
      </c>
      <c r="F85" s="5">
        <v>48.9</v>
      </c>
    </row>
    <row r="86" spans="1:6" x14ac:dyDescent="0.3">
      <c r="A86" t="s">
        <v>90</v>
      </c>
      <c r="B86" s="5">
        <v>5.4</v>
      </c>
      <c r="C86" s="5">
        <v>6.4</v>
      </c>
      <c r="D86" s="6">
        <v>0.92700000000000005</v>
      </c>
      <c r="E86">
        <v>71</v>
      </c>
      <c r="F86" s="5">
        <v>38</v>
      </c>
    </row>
    <row r="87" spans="1:6" x14ac:dyDescent="0.3">
      <c r="A87" t="s">
        <v>91</v>
      </c>
      <c r="B87" s="5">
        <v>3.4</v>
      </c>
      <c r="C87" s="5">
        <v>8.5</v>
      </c>
      <c r="D87" s="6">
        <v>0.97699999999999998</v>
      </c>
      <c r="E87">
        <v>46</v>
      </c>
      <c r="F87" s="5">
        <v>26.5</v>
      </c>
    </row>
    <row r="88" spans="1:6" x14ac:dyDescent="0.3">
      <c r="A88" t="s">
        <v>92</v>
      </c>
      <c r="B88" s="5">
        <v>12</v>
      </c>
      <c r="C88" s="5">
        <v>8.1999999999999993</v>
      </c>
      <c r="D88" s="6">
        <v>0.71</v>
      </c>
      <c r="E88">
        <v>95</v>
      </c>
      <c r="F88" s="5">
        <v>51.3</v>
      </c>
    </row>
    <row r="89" spans="1:6" x14ac:dyDescent="0.3">
      <c r="A89" t="s">
        <v>93</v>
      </c>
      <c r="B89" s="5">
        <v>6.6</v>
      </c>
      <c r="C89" s="5">
        <v>4.5</v>
      </c>
      <c r="D89" s="6">
        <v>0.87400000000000011</v>
      </c>
      <c r="E89">
        <v>40</v>
      </c>
      <c r="F89" s="5">
        <v>28.6</v>
      </c>
    </row>
    <row r="90" spans="1:6" x14ac:dyDescent="0.3">
      <c r="A90" t="s">
        <v>94</v>
      </c>
      <c r="B90" s="5">
        <v>2</v>
      </c>
      <c r="C90" s="5">
        <v>6.1</v>
      </c>
      <c r="D90" s="6">
        <v>0.77300000000000002</v>
      </c>
      <c r="E90">
        <v>76</v>
      </c>
      <c r="F90" s="5">
        <v>32.1</v>
      </c>
    </row>
    <row r="91" spans="1:6" x14ac:dyDescent="0.3">
      <c r="A91" t="s">
        <v>95</v>
      </c>
      <c r="B91" s="5">
        <v>1.5</v>
      </c>
      <c r="C91" s="5">
        <v>5.4</v>
      </c>
      <c r="D91" s="6">
        <v>0.80200000000000005</v>
      </c>
      <c r="E91">
        <v>58</v>
      </c>
      <c r="F91" s="5">
        <v>23.9</v>
      </c>
    </row>
    <row r="92" spans="1:6" x14ac:dyDescent="0.3">
      <c r="A92" t="s">
        <v>96</v>
      </c>
      <c r="B92" s="5">
        <v>2.2000000000000002</v>
      </c>
      <c r="C92" s="5">
        <v>4</v>
      </c>
      <c r="D92" s="6">
        <v>0.61</v>
      </c>
      <c r="E92">
        <v>70</v>
      </c>
      <c r="F92" s="5">
        <v>27.3</v>
      </c>
    </row>
    <row r="93" spans="1:6" x14ac:dyDescent="0.3">
      <c r="A93" t="s">
        <v>97</v>
      </c>
      <c r="B93" s="5">
        <v>7.9</v>
      </c>
      <c r="C93" s="5">
        <v>7.9</v>
      </c>
      <c r="D93" s="6">
        <v>0.61</v>
      </c>
      <c r="E93">
        <v>70</v>
      </c>
      <c r="F93" s="5">
        <v>34</v>
      </c>
    </row>
    <row r="94" spans="1:6" x14ac:dyDescent="0.3">
      <c r="A94" t="s">
        <v>98</v>
      </c>
      <c r="B94" s="5">
        <v>9.6999999999999993</v>
      </c>
      <c r="C94" s="5">
        <v>7.2</v>
      </c>
      <c r="D94" s="6">
        <v>0.71799999999999997</v>
      </c>
      <c r="E94">
        <v>68</v>
      </c>
      <c r="F94" s="5">
        <v>37.5</v>
      </c>
    </row>
    <row r="95" spans="1:6" x14ac:dyDescent="0.3">
      <c r="A95" t="s">
        <v>99</v>
      </c>
      <c r="B95" s="5">
        <v>5.6</v>
      </c>
      <c r="C95" s="5">
        <v>5.3</v>
      </c>
      <c r="D95" s="6">
        <v>0.51500000000000001</v>
      </c>
      <c r="E95">
        <v>61</v>
      </c>
      <c r="F95" s="5">
        <v>29.1</v>
      </c>
    </row>
    <row r="96" spans="1:6" x14ac:dyDescent="0.3">
      <c r="A96" t="s">
        <v>100</v>
      </c>
      <c r="B96" s="5">
        <v>1.7</v>
      </c>
      <c r="C96" s="5">
        <v>7.7</v>
      </c>
      <c r="D96" s="6">
        <v>0.66799999999999993</v>
      </c>
      <c r="E96">
        <v>51</v>
      </c>
      <c r="F96" s="5">
        <v>28.1</v>
      </c>
    </row>
    <row r="97" spans="1:6" x14ac:dyDescent="0.3">
      <c r="A97" t="s">
        <v>101</v>
      </c>
      <c r="B97" s="5">
        <v>5.2</v>
      </c>
      <c r="C97" s="5">
        <v>6.8</v>
      </c>
      <c r="D97" s="6">
        <v>0.84</v>
      </c>
      <c r="E97">
        <v>43</v>
      </c>
      <c r="F97" s="5">
        <v>28.7</v>
      </c>
    </row>
    <row r="98" spans="1:6" x14ac:dyDescent="0.3">
      <c r="A98" t="s">
        <v>102</v>
      </c>
      <c r="B98" s="5">
        <v>12</v>
      </c>
      <c r="C98" s="5">
        <v>6.1</v>
      </c>
      <c r="D98" s="6">
        <v>0.70200000000000007</v>
      </c>
      <c r="E98">
        <v>56</v>
      </c>
      <c r="F98" s="5">
        <v>36.9</v>
      </c>
    </row>
    <row r="99" spans="1:6" x14ac:dyDescent="0.3">
      <c r="A99" t="s">
        <v>103</v>
      </c>
      <c r="B99" s="5">
        <v>6.8</v>
      </c>
      <c r="C99" s="5">
        <v>4</v>
      </c>
      <c r="D99" s="6">
        <v>0.58299999999999996</v>
      </c>
      <c r="E99">
        <v>95</v>
      </c>
      <c r="F99" s="5">
        <v>36</v>
      </c>
    </row>
    <row r="100" spans="1:6" x14ac:dyDescent="0.3">
      <c r="A100" t="s">
        <v>104</v>
      </c>
      <c r="B100" s="5">
        <v>11.7</v>
      </c>
      <c r="C100" s="5">
        <v>4.4000000000000004</v>
      </c>
      <c r="D100" s="6">
        <v>0.7340000000000001</v>
      </c>
      <c r="E100">
        <v>70</v>
      </c>
      <c r="F100" s="5">
        <v>39.9</v>
      </c>
    </row>
    <row r="101" spans="1:6" x14ac:dyDescent="0.3">
      <c r="A101" t="s">
        <v>105</v>
      </c>
      <c r="B101" s="5">
        <v>10.5</v>
      </c>
      <c r="C101" s="5">
        <v>8.4</v>
      </c>
      <c r="D101" s="6">
        <v>0.56399999999999995</v>
      </c>
      <c r="E101">
        <v>47</v>
      </c>
      <c r="F101" s="5">
        <v>37.1</v>
      </c>
    </row>
    <row r="102" spans="1:6" x14ac:dyDescent="0.3">
      <c r="A102" t="s">
        <v>106</v>
      </c>
      <c r="B102" s="5">
        <v>1.1000000000000001</v>
      </c>
      <c r="C102" s="5">
        <v>8.5</v>
      </c>
      <c r="D102" s="6">
        <v>0.81099999999999994</v>
      </c>
      <c r="E102">
        <v>92</v>
      </c>
      <c r="F102" s="5">
        <v>31.4</v>
      </c>
    </row>
    <row r="103" spans="1:6" x14ac:dyDescent="0.3">
      <c r="A103" t="s">
        <v>107</v>
      </c>
      <c r="B103" s="5">
        <v>8.9</v>
      </c>
      <c r="C103" s="5">
        <v>6.7</v>
      </c>
      <c r="D103" s="6">
        <v>0.51300000000000001</v>
      </c>
      <c r="E103">
        <v>44</v>
      </c>
      <c r="F103" s="5">
        <v>31.3</v>
      </c>
    </row>
    <row r="104" spans="1:6" x14ac:dyDescent="0.3">
      <c r="A104" t="s">
        <v>108</v>
      </c>
      <c r="B104" s="5">
        <v>8.5</v>
      </c>
      <c r="C104" s="5">
        <v>8.1999999999999993</v>
      </c>
      <c r="D104" s="6">
        <v>0.69700000000000006</v>
      </c>
      <c r="E104">
        <v>65</v>
      </c>
      <c r="F104" s="5">
        <v>35.700000000000003</v>
      </c>
    </row>
    <row r="105" spans="1:6" x14ac:dyDescent="0.3">
      <c r="A105" t="s">
        <v>109</v>
      </c>
      <c r="B105" s="5">
        <v>6.9</v>
      </c>
      <c r="C105" s="5">
        <v>6.9</v>
      </c>
      <c r="D105" s="6">
        <v>0.78200000000000003</v>
      </c>
      <c r="E105">
        <v>71</v>
      </c>
      <c r="F105" s="5">
        <v>32.6</v>
      </c>
    </row>
    <row r="106" spans="1:6" x14ac:dyDescent="0.3">
      <c r="A106" t="s">
        <v>110</v>
      </c>
      <c r="B106" s="5">
        <v>3.9</v>
      </c>
      <c r="C106" s="5">
        <v>4.7</v>
      </c>
      <c r="D106" s="6">
        <v>0.51400000000000001</v>
      </c>
      <c r="E106">
        <v>44</v>
      </c>
      <c r="F106" s="5">
        <v>24.1</v>
      </c>
    </row>
    <row r="107" spans="1:6" x14ac:dyDescent="0.3">
      <c r="A107" t="s">
        <v>111</v>
      </c>
      <c r="B107" s="5">
        <v>8.1</v>
      </c>
      <c r="C107" s="5">
        <v>4.5999999999999996</v>
      </c>
      <c r="D107" s="6">
        <v>0.82099999999999995</v>
      </c>
      <c r="E107">
        <v>76</v>
      </c>
      <c r="F107" s="5">
        <v>38.200000000000003</v>
      </c>
    </row>
    <row r="108" spans="1:6" x14ac:dyDescent="0.3">
      <c r="A108" t="s">
        <v>112</v>
      </c>
      <c r="B108" s="5">
        <v>2.2000000000000002</v>
      </c>
      <c r="C108" s="5">
        <v>5.5</v>
      </c>
      <c r="D108" s="6">
        <v>0.56799999999999995</v>
      </c>
      <c r="E108">
        <v>80</v>
      </c>
      <c r="F108" s="5">
        <v>23.7</v>
      </c>
    </row>
    <row r="109" spans="1:6" x14ac:dyDescent="0.3">
      <c r="A109" t="s">
        <v>113</v>
      </c>
      <c r="B109" s="5">
        <v>5.8</v>
      </c>
      <c r="C109" s="5">
        <v>8.5</v>
      </c>
      <c r="D109" s="6">
        <v>0.73099999999999998</v>
      </c>
      <c r="E109">
        <v>83</v>
      </c>
      <c r="F109" s="5">
        <v>39.200000000000003</v>
      </c>
    </row>
    <row r="110" spans="1:6" x14ac:dyDescent="0.3">
      <c r="A110" t="s">
        <v>114</v>
      </c>
      <c r="B110" s="5">
        <v>6</v>
      </c>
      <c r="C110" s="5">
        <v>8</v>
      </c>
      <c r="D110" s="6">
        <v>0.52500000000000002</v>
      </c>
      <c r="E110">
        <v>43</v>
      </c>
      <c r="F110" s="5">
        <v>23.2</v>
      </c>
    </row>
    <row r="111" spans="1:6" x14ac:dyDescent="0.3">
      <c r="A111" t="s">
        <v>115</v>
      </c>
      <c r="B111" s="5">
        <v>11.5</v>
      </c>
      <c r="C111" s="5">
        <v>8.3000000000000007</v>
      </c>
      <c r="D111" s="6">
        <v>0.69</v>
      </c>
      <c r="E111">
        <v>49</v>
      </c>
      <c r="F111" s="5">
        <v>42.2</v>
      </c>
    </row>
    <row r="112" spans="1:6" x14ac:dyDescent="0.3">
      <c r="A112" t="s">
        <v>116</v>
      </c>
      <c r="B112" s="5">
        <v>10.6</v>
      </c>
      <c r="C112" s="5">
        <v>8.5</v>
      </c>
      <c r="D112" s="6">
        <v>0.60599999999999998</v>
      </c>
      <c r="E112">
        <v>49</v>
      </c>
      <c r="F112" s="5">
        <v>39.6</v>
      </c>
    </row>
    <row r="113" spans="1:6" x14ac:dyDescent="0.3">
      <c r="A113" t="s">
        <v>117</v>
      </c>
      <c r="B113" s="5">
        <v>3.9</v>
      </c>
      <c r="C113" s="5">
        <v>5.0999999999999996</v>
      </c>
      <c r="D113" s="6">
        <v>0.66299999999999992</v>
      </c>
      <c r="E113">
        <v>91</v>
      </c>
      <c r="F113" s="5">
        <v>34.799999999999997</v>
      </c>
    </row>
    <row r="114" spans="1:6" x14ac:dyDescent="0.3">
      <c r="A114" t="s">
        <v>118</v>
      </c>
      <c r="B114" s="5">
        <v>6.5</v>
      </c>
      <c r="C114" s="5">
        <v>5.2</v>
      </c>
      <c r="D114" s="6">
        <v>0.88099999999999989</v>
      </c>
      <c r="E114">
        <v>76</v>
      </c>
      <c r="F114" s="5">
        <v>34.6</v>
      </c>
    </row>
    <row r="115" spans="1:6" x14ac:dyDescent="0.3">
      <c r="A115" t="s">
        <v>119</v>
      </c>
      <c r="B115" s="5">
        <v>3</v>
      </c>
      <c r="C115" s="5">
        <v>4.5</v>
      </c>
      <c r="D115" s="6">
        <v>0.69</v>
      </c>
      <c r="E115">
        <v>59</v>
      </c>
      <c r="F115" s="5">
        <v>26.4</v>
      </c>
    </row>
    <row r="116" spans="1:6" x14ac:dyDescent="0.3">
      <c r="A116" t="s">
        <v>120</v>
      </c>
      <c r="B116" s="5">
        <v>11</v>
      </c>
      <c r="C116" s="5">
        <v>7.9</v>
      </c>
      <c r="D116" s="6">
        <v>0.87599999999999989</v>
      </c>
      <c r="E116">
        <v>45</v>
      </c>
      <c r="F116" s="5">
        <v>43.1</v>
      </c>
    </row>
    <row r="117" spans="1:6" x14ac:dyDescent="0.3">
      <c r="A117" t="s">
        <v>121</v>
      </c>
      <c r="B117" s="5">
        <v>10.6</v>
      </c>
      <c r="C117" s="5">
        <v>8.4</v>
      </c>
      <c r="D117" s="6">
        <v>0.91599999999999993</v>
      </c>
      <c r="E117">
        <v>55</v>
      </c>
      <c r="F117" s="5">
        <v>46.4</v>
      </c>
    </row>
    <row r="118" spans="1:6" x14ac:dyDescent="0.3">
      <c r="A118" t="s">
        <v>122</v>
      </c>
      <c r="B118" s="5">
        <v>4.3</v>
      </c>
      <c r="C118" s="5">
        <v>6</v>
      </c>
      <c r="D118" s="6">
        <v>0.626</v>
      </c>
      <c r="E118">
        <v>47</v>
      </c>
      <c r="F118" s="5">
        <v>25.2</v>
      </c>
    </row>
    <row r="119" spans="1:6" x14ac:dyDescent="0.3">
      <c r="A119" t="s">
        <v>123</v>
      </c>
      <c r="B119" s="5">
        <v>8</v>
      </c>
      <c r="C119" s="5">
        <v>7.1</v>
      </c>
      <c r="D119" s="6">
        <v>0.54100000000000004</v>
      </c>
      <c r="E119">
        <v>75</v>
      </c>
      <c r="F119" s="5">
        <v>31.3</v>
      </c>
    </row>
    <row r="120" spans="1:6" x14ac:dyDescent="0.3">
      <c r="A120" t="s">
        <v>124</v>
      </c>
      <c r="B120" s="5">
        <v>7.7</v>
      </c>
      <c r="C120" s="5">
        <v>4.8</v>
      </c>
      <c r="D120" s="6">
        <v>0.51</v>
      </c>
      <c r="E120">
        <v>88</v>
      </c>
      <c r="F120" s="5">
        <v>35.799999999999997</v>
      </c>
    </row>
    <row r="121" spans="1:6" x14ac:dyDescent="0.3">
      <c r="A121" t="s">
        <v>125</v>
      </c>
      <c r="B121" s="5">
        <v>2.7</v>
      </c>
      <c r="C121" s="5">
        <v>8.6</v>
      </c>
      <c r="D121" s="6">
        <v>0.77</v>
      </c>
      <c r="E121">
        <v>66</v>
      </c>
      <c r="F121" s="5">
        <v>29.8</v>
      </c>
    </row>
    <row r="122" spans="1:6" x14ac:dyDescent="0.3">
      <c r="A122" t="s">
        <v>126</v>
      </c>
      <c r="B122" s="5">
        <v>9.4</v>
      </c>
      <c r="C122" s="5">
        <v>8.3000000000000007</v>
      </c>
      <c r="D122" s="6">
        <v>1</v>
      </c>
      <c r="E122">
        <v>78</v>
      </c>
      <c r="F122" s="5">
        <v>47.9</v>
      </c>
    </row>
    <row r="123" spans="1:6" x14ac:dyDescent="0.3">
      <c r="A123" t="s">
        <v>127</v>
      </c>
      <c r="B123" s="5">
        <v>6.9</v>
      </c>
      <c r="C123" s="5">
        <v>8.9</v>
      </c>
      <c r="D123" s="6">
        <v>0.67500000000000004</v>
      </c>
      <c r="E123">
        <v>78</v>
      </c>
      <c r="F123" s="5">
        <v>40.9</v>
      </c>
    </row>
    <row r="124" spans="1:6" x14ac:dyDescent="0.3">
      <c r="A124" t="s">
        <v>128</v>
      </c>
      <c r="B124" s="5">
        <v>9.6</v>
      </c>
      <c r="C124" s="5">
        <v>8.1</v>
      </c>
      <c r="D124" s="6">
        <v>0.82499999999999996</v>
      </c>
      <c r="E124">
        <v>90</v>
      </c>
      <c r="F124" s="5">
        <v>44.1</v>
      </c>
    </row>
    <row r="125" spans="1:6" x14ac:dyDescent="0.3">
      <c r="A125" t="s">
        <v>129</v>
      </c>
      <c r="B125" s="5">
        <v>6.8</v>
      </c>
      <c r="C125" s="5">
        <v>8.4</v>
      </c>
      <c r="D125" s="6">
        <v>0.8909999999999999</v>
      </c>
      <c r="E125">
        <v>79</v>
      </c>
      <c r="F125" s="5">
        <v>39.299999999999997</v>
      </c>
    </row>
    <row r="126" spans="1:6" x14ac:dyDescent="0.3">
      <c r="A126" t="s">
        <v>130</v>
      </c>
      <c r="B126" s="5">
        <v>1</v>
      </c>
      <c r="C126" s="5">
        <v>4.0999999999999996</v>
      </c>
      <c r="D126" s="6">
        <v>0.82599999999999996</v>
      </c>
      <c r="E126">
        <v>54</v>
      </c>
      <c r="F126" s="5">
        <v>21.2</v>
      </c>
    </row>
    <row r="127" spans="1:6" x14ac:dyDescent="0.3">
      <c r="A127" t="s">
        <v>131</v>
      </c>
      <c r="B127" s="5">
        <v>4.5999999999999996</v>
      </c>
      <c r="C127" s="5">
        <v>7.7</v>
      </c>
      <c r="D127" s="6">
        <v>0.877</v>
      </c>
      <c r="E127">
        <v>89</v>
      </c>
      <c r="F127" s="5">
        <v>38.6</v>
      </c>
    </row>
    <row r="128" spans="1:6" x14ac:dyDescent="0.3">
      <c r="A128" t="s">
        <v>132</v>
      </c>
      <c r="B128" s="5">
        <v>1.2</v>
      </c>
      <c r="C128" s="5">
        <v>5.7</v>
      </c>
      <c r="D128" s="6">
        <v>0.97499999999999998</v>
      </c>
      <c r="E128">
        <v>73</v>
      </c>
      <c r="F128" s="5">
        <v>26.8</v>
      </c>
    </row>
    <row r="129" spans="1:6" x14ac:dyDescent="0.3">
      <c r="A129" t="s">
        <v>133</v>
      </c>
      <c r="B129" s="5">
        <v>11.2</v>
      </c>
      <c r="C129" s="5">
        <v>8.6999999999999993</v>
      </c>
      <c r="D129" s="6">
        <v>0.6</v>
      </c>
      <c r="E129">
        <v>64</v>
      </c>
      <c r="F129" s="5">
        <v>42.7</v>
      </c>
    </row>
    <row r="130" spans="1:6" x14ac:dyDescent="0.3">
      <c r="A130" t="s">
        <v>134</v>
      </c>
      <c r="B130" s="5">
        <v>10.7</v>
      </c>
      <c r="C130" s="5">
        <v>8</v>
      </c>
      <c r="D130" s="6">
        <v>0.51</v>
      </c>
      <c r="E130">
        <v>68</v>
      </c>
      <c r="F130" s="5">
        <v>36.1</v>
      </c>
    </row>
    <row r="131" spans="1:6" x14ac:dyDescent="0.3">
      <c r="A131" t="s">
        <v>135</v>
      </c>
      <c r="B131" s="5">
        <v>10.1</v>
      </c>
      <c r="C131" s="5">
        <v>8.3000000000000007</v>
      </c>
      <c r="D131" s="6">
        <v>0.57600000000000007</v>
      </c>
      <c r="E131">
        <v>68</v>
      </c>
      <c r="F131" s="5">
        <v>39.200000000000003</v>
      </c>
    </row>
    <row r="132" spans="1:6" x14ac:dyDescent="0.3">
      <c r="A132" t="s">
        <v>136</v>
      </c>
      <c r="B132" s="5">
        <v>4.4000000000000004</v>
      </c>
      <c r="C132" s="5">
        <v>8.1</v>
      </c>
      <c r="D132" s="6">
        <v>0.56299999999999994</v>
      </c>
      <c r="E132">
        <v>59</v>
      </c>
      <c r="F132" s="5">
        <v>32.9</v>
      </c>
    </row>
    <row r="133" spans="1:6" x14ac:dyDescent="0.3">
      <c r="A133" t="s">
        <v>137</v>
      </c>
      <c r="B133" s="5">
        <v>1.6</v>
      </c>
      <c r="C133" s="5">
        <v>5.3</v>
      </c>
      <c r="D133" s="6">
        <v>0.83499999999999996</v>
      </c>
      <c r="E133">
        <v>95</v>
      </c>
      <c r="F133" s="5">
        <v>28.8</v>
      </c>
    </row>
    <row r="134" spans="1:6" x14ac:dyDescent="0.3">
      <c r="A134" t="s">
        <v>138</v>
      </c>
      <c r="B134" s="5">
        <v>10.7</v>
      </c>
      <c r="C134" s="5">
        <v>7.9</v>
      </c>
      <c r="D134" s="6">
        <v>0.78200000000000003</v>
      </c>
      <c r="E134">
        <v>77</v>
      </c>
      <c r="F134" s="5">
        <v>45.7</v>
      </c>
    </row>
    <row r="135" spans="1:6" x14ac:dyDescent="0.3">
      <c r="A135" t="s">
        <v>139</v>
      </c>
      <c r="B135" s="5">
        <v>11.4</v>
      </c>
      <c r="C135" s="5">
        <v>4.5</v>
      </c>
      <c r="D135" s="6">
        <v>0.60899999999999999</v>
      </c>
      <c r="E135">
        <v>67</v>
      </c>
      <c r="F135" s="5">
        <v>40.799999999999997</v>
      </c>
    </row>
    <row r="136" spans="1:6" x14ac:dyDescent="0.3">
      <c r="A136" t="s">
        <v>140</v>
      </c>
      <c r="B136" s="5">
        <v>1.9</v>
      </c>
      <c r="C136" s="5">
        <v>8.4</v>
      </c>
      <c r="D136" s="6">
        <v>0.85</v>
      </c>
      <c r="E136">
        <v>59</v>
      </c>
      <c r="F136" s="5">
        <v>30.6</v>
      </c>
    </row>
    <row r="137" spans="1:6" x14ac:dyDescent="0.3">
      <c r="A137" t="s">
        <v>141</v>
      </c>
      <c r="B137" s="5">
        <v>6.3</v>
      </c>
      <c r="C137" s="5">
        <v>8.3000000000000007</v>
      </c>
      <c r="D137" s="6">
        <v>0.88300000000000001</v>
      </c>
      <c r="E137">
        <v>76</v>
      </c>
      <c r="F137" s="5">
        <v>41.1</v>
      </c>
    </row>
    <row r="138" spans="1:6" x14ac:dyDescent="0.3">
      <c r="A138" t="s">
        <v>142</v>
      </c>
      <c r="B138" s="5">
        <v>1.8</v>
      </c>
      <c r="C138" s="5">
        <v>5.0999999999999996</v>
      </c>
      <c r="D138" s="6">
        <v>0.58399999999999996</v>
      </c>
      <c r="E138">
        <v>79</v>
      </c>
      <c r="F138" s="5">
        <v>29</v>
      </c>
    </row>
    <row r="139" spans="1:6" x14ac:dyDescent="0.3">
      <c r="A139" t="s">
        <v>143</v>
      </c>
      <c r="B139" s="5">
        <v>9.4</v>
      </c>
      <c r="C139" s="5">
        <v>8.1</v>
      </c>
      <c r="D139" s="6">
        <v>0.80400000000000005</v>
      </c>
      <c r="E139">
        <v>43</v>
      </c>
      <c r="F139" s="5">
        <v>35.1</v>
      </c>
    </row>
    <row r="140" spans="1:6" x14ac:dyDescent="0.3">
      <c r="A140" t="s">
        <v>144</v>
      </c>
      <c r="B140" s="5">
        <v>9.4</v>
      </c>
      <c r="C140" s="5">
        <v>6.3</v>
      </c>
      <c r="D140" s="6">
        <v>0.87400000000000011</v>
      </c>
      <c r="E140">
        <v>79</v>
      </c>
      <c r="F140" s="5">
        <v>39.9</v>
      </c>
    </row>
    <row r="141" spans="1:6" x14ac:dyDescent="0.3">
      <c r="A141" t="s">
        <v>145</v>
      </c>
      <c r="B141" s="5">
        <v>2.4</v>
      </c>
      <c r="C141" s="5">
        <v>5.5</v>
      </c>
      <c r="D141" s="6">
        <v>0.55700000000000005</v>
      </c>
      <c r="E141">
        <v>87</v>
      </c>
      <c r="F141" s="5">
        <v>29.9</v>
      </c>
    </row>
    <row r="142" spans="1:6" x14ac:dyDescent="0.3">
      <c r="A142" t="s">
        <v>146</v>
      </c>
      <c r="B142" s="5">
        <v>6.2</v>
      </c>
      <c r="C142" s="5">
        <v>8</v>
      </c>
      <c r="D142" s="6">
        <v>0.91</v>
      </c>
      <c r="E142">
        <v>46</v>
      </c>
      <c r="F142" s="5">
        <v>35</v>
      </c>
    </row>
    <row r="143" spans="1:6" x14ac:dyDescent="0.3">
      <c r="A143" t="s">
        <v>147</v>
      </c>
      <c r="B143" s="5">
        <v>7</v>
      </c>
      <c r="C143" s="5">
        <v>5.0999999999999996</v>
      </c>
      <c r="D143" s="6">
        <v>0.98199999999999998</v>
      </c>
      <c r="E143">
        <v>88</v>
      </c>
      <c r="F143" s="5">
        <v>43.3</v>
      </c>
    </row>
    <row r="144" spans="1:6" x14ac:dyDescent="0.3">
      <c r="A144" t="s">
        <v>148</v>
      </c>
      <c r="B144" s="5">
        <v>3.9</v>
      </c>
      <c r="C144" s="5">
        <v>4.0999999999999996</v>
      </c>
      <c r="D144" s="6">
        <v>0.55399999999999994</v>
      </c>
      <c r="E144">
        <v>53</v>
      </c>
      <c r="F144" s="5">
        <v>19</v>
      </c>
    </row>
    <row r="145" spans="1:6" x14ac:dyDescent="0.3">
      <c r="A145" t="s">
        <v>149</v>
      </c>
      <c r="B145" s="5">
        <v>10.6</v>
      </c>
      <c r="C145" s="5">
        <v>5</v>
      </c>
      <c r="D145" s="6">
        <v>0.51300000000000001</v>
      </c>
      <c r="E145">
        <v>80</v>
      </c>
      <c r="F145" s="5">
        <v>35.1</v>
      </c>
    </row>
    <row r="146" spans="1:6" x14ac:dyDescent="0.3">
      <c r="A146" t="s">
        <v>150</v>
      </c>
      <c r="B146" s="5">
        <v>5.7</v>
      </c>
      <c r="C146" s="5">
        <v>5.6</v>
      </c>
      <c r="D146" s="6">
        <v>0.65599999999999992</v>
      </c>
      <c r="E146">
        <v>53</v>
      </c>
      <c r="F146" s="5">
        <v>29.9</v>
      </c>
    </row>
    <row r="147" spans="1:6" x14ac:dyDescent="0.3">
      <c r="A147" t="s">
        <v>151</v>
      </c>
      <c r="B147" s="5">
        <v>3.3</v>
      </c>
      <c r="C147" s="5">
        <v>8.3000000000000007</v>
      </c>
      <c r="D147" s="6">
        <v>0.83900000000000008</v>
      </c>
      <c r="E147">
        <v>56</v>
      </c>
      <c r="F147" s="5">
        <v>33</v>
      </c>
    </row>
    <row r="148" spans="1:6" x14ac:dyDescent="0.3">
      <c r="A148" t="s">
        <v>152</v>
      </c>
      <c r="B148" s="5">
        <v>6.9</v>
      </c>
      <c r="C148" s="5">
        <v>8.8000000000000007</v>
      </c>
      <c r="D148" s="6">
        <v>0.97900000000000009</v>
      </c>
      <c r="E148">
        <v>82</v>
      </c>
      <c r="F148" s="5">
        <v>45.8</v>
      </c>
    </row>
    <row r="149" spans="1:6" x14ac:dyDescent="0.3">
      <c r="A149" t="s">
        <v>153</v>
      </c>
      <c r="B149" s="5">
        <v>9</v>
      </c>
      <c r="C149" s="5">
        <v>5.4</v>
      </c>
      <c r="D149" s="6">
        <v>0.69799999999999995</v>
      </c>
      <c r="E149">
        <v>45</v>
      </c>
      <c r="F149" s="5">
        <v>35.5</v>
      </c>
    </row>
    <row r="150" spans="1:6" x14ac:dyDescent="0.3">
      <c r="A150" t="s">
        <v>154</v>
      </c>
      <c r="B150" s="5">
        <v>3.2</v>
      </c>
      <c r="C150" s="5">
        <v>7.2</v>
      </c>
      <c r="D150" s="6">
        <v>0.85799999999999998</v>
      </c>
      <c r="E150">
        <v>50</v>
      </c>
      <c r="F150" s="5">
        <v>26.4</v>
      </c>
    </row>
    <row r="151" spans="1:6" x14ac:dyDescent="0.3">
      <c r="A151" t="s">
        <v>155</v>
      </c>
      <c r="B151" s="5">
        <v>4.4000000000000004</v>
      </c>
      <c r="C151" s="5">
        <v>6</v>
      </c>
      <c r="D151" s="6">
        <v>0.53799999999999992</v>
      </c>
      <c r="E151">
        <v>55</v>
      </c>
      <c r="F151" s="5">
        <v>21.9</v>
      </c>
    </row>
    <row r="152" spans="1:6" x14ac:dyDescent="0.3">
      <c r="A152" t="s">
        <v>156</v>
      </c>
      <c r="B152" s="5">
        <v>11.9</v>
      </c>
      <c r="C152" s="5">
        <v>8.9</v>
      </c>
      <c r="D152" s="6">
        <v>0.84499999999999997</v>
      </c>
      <c r="E152">
        <v>51</v>
      </c>
      <c r="F152" s="5">
        <v>44.1</v>
      </c>
    </row>
    <row r="153" spans="1:6" x14ac:dyDescent="0.3">
      <c r="A153" t="s">
        <v>157</v>
      </c>
      <c r="B153" s="5">
        <v>8.1</v>
      </c>
      <c r="C153" s="5">
        <v>6.7</v>
      </c>
      <c r="D153" s="6">
        <v>0.81400000000000006</v>
      </c>
      <c r="E153">
        <v>75</v>
      </c>
      <c r="F153" s="5">
        <v>42.3</v>
      </c>
    </row>
    <row r="154" spans="1:6" x14ac:dyDescent="0.3">
      <c r="A154" t="s">
        <v>158</v>
      </c>
      <c r="B154" s="5">
        <v>5.8</v>
      </c>
      <c r="C154" s="5">
        <v>8.6999999999999993</v>
      </c>
      <c r="D154" s="6">
        <v>0.55100000000000005</v>
      </c>
      <c r="E154">
        <v>44</v>
      </c>
      <c r="F154" s="5">
        <v>27.7</v>
      </c>
    </row>
    <row r="155" spans="1:6" x14ac:dyDescent="0.3">
      <c r="A155" t="s">
        <v>159</v>
      </c>
      <c r="B155" s="5">
        <v>6.7</v>
      </c>
      <c r="C155" s="5">
        <v>4.5999999999999996</v>
      </c>
      <c r="D155" s="6">
        <v>0.8859999999999999</v>
      </c>
      <c r="E155">
        <v>50</v>
      </c>
      <c r="F155" s="5">
        <v>33.4</v>
      </c>
    </row>
    <row r="156" spans="1:6" x14ac:dyDescent="0.3">
      <c r="A156" t="s">
        <v>160</v>
      </c>
      <c r="B156" s="5">
        <v>2.2999999999999998</v>
      </c>
      <c r="C156" s="5">
        <v>8.9</v>
      </c>
      <c r="D156" s="6">
        <v>0.92500000000000004</v>
      </c>
      <c r="E156">
        <v>40</v>
      </c>
      <c r="F156" s="5">
        <v>29.7</v>
      </c>
    </row>
    <row r="157" spans="1:6" x14ac:dyDescent="0.3">
      <c r="A157" t="s">
        <v>161</v>
      </c>
      <c r="B157" s="5">
        <v>3.5</v>
      </c>
      <c r="C157" s="5">
        <v>4.9000000000000004</v>
      </c>
      <c r="D157" s="6">
        <v>0.8</v>
      </c>
      <c r="E157">
        <v>66</v>
      </c>
      <c r="F157" s="5">
        <v>23.6</v>
      </c>
    </row>
    <row r="158" spans="1:6" x14ac:dyDescent="0.3">
      <c r="A158" t="s">
        <v>162</v>
      </c>
      <c r="B158" s="5">
        <v>4.7</v>
      </c>
      <c r="C158" s="5">
        <v>8.8000000000000007</v>
      </c>
      <c r="D158" s="6">
        <v>0.56100000000000005</v>
      </c>
      <c r="E158">
        <v>68</v>
      </c>
      <c r="F158" s="5">
        <v>33.6</v>
      </c>
    </row>
    <row r="159" spans="1:6" x14ac:dyDescent="0.3">
      <c r="A159" t="s">
        <v>163</v>
      </c>
      <c r="B159" s="5">
        <v>7.5</v>
      </c>
      <c r="C159" s="5">
        <v>5.3</v>
      </c>
      <c r="D159" s="6">
        <v>0.99199999999999999</v>
      </c>
      <c r="E159">
        <v>84</v>
      </c>
      <c r="F159" s="5">
        <v>37.9</v>
      </c>
    </row>
    <row r="160" spans="1:6" x14ac:dyDescent="0.3">
      <c r="A160" t="s">
        <v>164</v>
      </c>
      <c r="B160" s="5">
        <v>3.5</v>
      </c>
      <c r="C160" s="5">
        <v>4.5</v>
      </c>
      <c r="D160" s="6">
        <v>0.8909999999999999</v>
      </c>
      <c r="E160">
        <v>78</v>
      </c>
      <c r="F160" s="5">
        <v>29.5</v>
      </c>
    </row>
    <row r="161" spans="1:6" x14ac:dyDescent="0.3">
      <c r="A161" t="s">
        <v>165</v>
      </c>
      <c r="B161" s="5">
        <v>3.4</v>
      </c>
      <c r="C161" s="5">
        <v>6.2</v>
      </c>
      <c r="D161" s="6">
        <v>0.67400000000000004</v>
      </c>
      <c r="E161">
        <v>70</v>
      </c>
      <c r="F161" s="5">
        <v>24.7</v>
      </c>
    </row>
    <row r="162" spans="1:6" x14ac:dyDescent="0.3">
      <c r="A162" t="s">
        <v>166</v>
      </c>
      <c r="B162" s="5">
        <v>1.8</v>
      </c>
      <c r="C162" s="5">
        <v>7.6</v>
      </c>
      <c r="D162" s="6">
        <v>0.71400000000000008</v>
      </c>
      <c r="E162">
        <v>58</v>
      </c>
      <c r="F162" s="5">
        <v>25.2</v>
      </c>
    </row>
    <row r="163" spans="1:6" x14ac:dyDescent="0.3">
      <c r="A163" t="s">
        <v>167</v>
      </c>
      <c r="B163" s="5">
        <v>7.9</v>
      </c>
      <c r="C163" s="5">
        <v>5.6</v>
      </c>
      <c r="D163" s="6">
        <v>0.68500000000000005</v>
      </c>
      <c r="E163">
        <v>42</v>
      </c>
      <c r="F163" s="5">
        <v>31.4</v>
      </c>
    </row>
    <row r="164" spans="1:6" x14ac:dyDescent="0.3">
      <c r="A164" t="s">
        <v>168</v>
      </c>
      <c r="B164" s="5">
        <v>3.5</v>
      </c>
      <c r="C164" s="5">
        <v>7</v>
      </c>
      <c r="D164" s="6">
        <v>0.753</v>
      </c>
      <c r="E164">
        <v>54</v>
      </c>
      <c r="F164" s="5">
        <v>30</v>
      </c>
    </row>
    <row r="165" spans="1:6" x14ac:dyDescent="0.3">
      <c r="A165" t="s">
        <v>169</v>
      </c>
      <c r="B165" s="5">
        <v>11</v>
      </c>
      <c r="C165" s="5">
        <v>6.6</v>
      </c>
      <c r="D165" s="6">
        <v>0.67099999999999993</v>
      </c>
      <c r="E165">
        <v>58</v>
      </c>
      <c r="F165" s="5">
        <v>35.799999999999997</v>
      </c>
    </row>
    <row r="166" spans="1:6" x14ac:dyDescent="0.3">
      <c r="A166" t="s">
        <v>170</v>
      </c>
      <c r="B166" s="5">
        <v>10.5</v>
      </c>
      <c r="C166" s="5">
        <v>5.9</v>
      </c>
      <c r="D166" s="6">
        <v>0.92500000000000004</v>
      </c>
      <c r="E166">
        <v>85</v>
      </c>
      <c r="F166" s="5">
        <v>40.6</v>
      </c>
    </row>
    <row r="167" spans="1:6" x14ac:dyDescent="0.3">
      <c r="A167" t="s">
        <v>171</v>
      </c>
      <c r="B167" s="5">
        <v>1.8</v>
      </c>
      <c r="C167" s="5">
        <v>6.9</v>
      </c>
      <c r="D167" s="6">
        <v>0.91099999999999992</v>
      </c>
      <c r="E167">
        <v>58</v>
      </c>
      <c r="F167" s="5">
        <v>30.1</v>
      </c>
    </row>
    <row r="168" spans="1:6" x14ac:dyDescent="0.3">
      <c r="A168" t="s">
        <v>172</v>
      </c>
      <c r="B168" s="5">
        <v>3.6</v>
      </c>
      <c r="C168" s="5">
        <v>5.3</v>
      </c>
      <c r="D168" s="6">
        <v>0.55299999999999994</v>
      </c>
      <c r="E168">
        <v>84</v>
      </c>
      <c r="F168" s="5">
        <v>30.3</v>
      </c>
    </row>
    <row r="169" spans="1:6" x14ac:dyDescent="0.3">
      <c r="A169" t="s">
        <v>173</v>
      </c>
      <c r="B169" s="5">
        <v>8.4</v>
      </c>
      <c r="C169" s="5">
        <v>7.5</v>
      </c>
      <c r="D169" s="6">
        <v>0.98</v>
      </c>
      <c r="E169">
        <v>95</v>
      </c>
      <c r="F169" s="5">
        <v>42</v>
      </c>
    </row>
    <row r="170" spans="1:6" x14ac:dyDescent="0.3">
      <c r="A170" t="s">
        <v>174</v>
      </c>
      <c r="B170" s="5">
        <v>3.4</v>
      </c>
      <c r="C170" s="5">
        <v>4</v>
      </c>
      <c r="D170" s="6">
        <v>0.81799999999999995</v>
      </c>
      <c r="E170">
        <v>69</v>
      </c>
      <c r="F170" s="5">
        <v>32.1</v>
      </c>
    </row>
    <row r="171" spans="1:6" x14ac:dyDescent="0.3">
      <c r="A171" t="s">
        <v>175</v>
      </c>
      <c r="B171" s="5">
        <v>2.5</v>
      </c>
      <c r="C171" s="5">
        <v>8.6</v>
      </c>
      <c r="D171" s="6">
        <v>0.91400000000000003</v>
      </c>
      <c r="E171">
        <v>44</v>
      </c>
      <c r="F171" s="5">
        <v>22.8</v>
      </c>
    </row>
    <row r="172" spans="1:6" x14ac:dyDescent="0.3">
      <c r="A172" t="s">
        <v>176</v>
      </c>
      <c r="B172" s="5">
        <v>11.3</v>
      </c>
      <c r="C172" s="5">
        <v>6.7</v>
      </c>
      <c r="D172" s="6">
        <v>0.85400000000000009</v>
      </c>
      <c r="E172">
        <v>83</v>
      </c>
      <c r="F172" s="5">
        <v>45.3</v>
      </c>
    </row>
    <row r="173" spans="1:6" x14ac:dyDescent="0.3">
      <c r="A173" t="s">
        <v>177</v>
      </c>
      <c r="B173" s="5">
        <v>7.3</v>
      </c>
      <c r="C173" s="5">
        <v>7.6</v>
      </c>
      <c r="D173" s="6">
        <v>0.71799999999999997</v>
      </c>
      <c r="E173">
        <v>54</v>
      </c>
      <c r="F173" s="5">
        <v>31</v>
      </c>
    </row>
    <row r="174" spans="1:6" x14ac:dyDescent="0.3">
      <c r="A174" t="s">
        <v>178</v>
      </c>
      <c r="B174" s="5">
        <v>6.2</v>
      </c>
      <c r="C174" s="5">
        <v>7.7</v>
      </c>
      <c r="D174" s="6">
        <v>0.86699999999999999</v>
      </c>
      <c r="E174">
        <v>56</v>
      </c>
      <c r="F174" s="5">
        <v>31</v>
      </c>
    </row>
    <row r="175" spans="1:6" x14ac:dyDescent="0.3">
      <c r="A175" t="s">
        <v>179</v>
      </c>
      <c r="B175" s="5">
        <v>9.6</v>
      </c>
      <c r="C175" s="5">
        <v>7.4</v>
      </c>
      <c r="D175" s="6">
        <v>0.98299999999999998</v>
      </c>
      <c r="E175">
        <v>90</v>
      </c>
      <c r="F175" s="5">
        <v>40.9</v>
      </c>
    </row>
    <row r="176" spans="1:6" x14ac:dyDescent="0.3">
      <c r="A176" t="s">
        <v>180</v>
      </c>
      <c r="B176" s="5">
        <v>9.9</v>
      </c>
      <c r="C176" s="5">
        <v>5.8</v>
      </c>
      <c r="D176" s="6">
        <v>0.63500000000000001</v>
      </c>
      <c r="E176">
        <v>90</v>
      </c>
      <c r="F176" s="5">
        <v>44.8</v>
      </c>
    </row>
    <row r="177" spans="1:6" x14ac:dyDescent="0.3">
      <c r="A177" t="s">
        <v>181</v>
      </c>
      <c r="B177" s="5">
        <v>3.1</v>
      </c>
      <c r="C177" s="5">
        <v>4.3</v>
      </c>
      <c r="D177" s="6">
        <v>0.90400000000000003</v>
      </c>
      <c r="E177">
        <v>80</v>
      </c>
      <c r="F177" s="5">
        <v>34.4</v>
      </c>
    </row>
    <row r="178" spans="1:6" x14ac:dyDescent="0.3">
      <c r="A178" t="s">
        <v>182</v>
      </c>
      <c r="B178" s="5">
        <v>2.1</v>
      </c>
      <c r="C178" s="5">
        <v>7.3</v>
      </c>
      <c r="D178" s="6">
        <v>0.76900000000000002</v>
      </c>
      <c r="E178">
        <v>77</v>
      </c>
      <c r="F178" s="5">
        <v>30.7</v>
      </c>
    </row>
    <row r="179" spans="1:6" x14ac:dyDescent="0.3">
      <c r="A179" t="s">
        <v>183</v>
      </c>
      <c r="B179" s="5">
        <v>5.7</v>
      </c>
      <c r="C179" s="5">
        <v>5.7</v>
      </c>
      <c r="D179" s="6">
        <v>0.74199999999999999</v>
      </c>
      <c r="E179">
        <v>82</v>
      </c>
      <c r="F179" s="5">
        <v>31</v>
      </c>
    </row>
    <row r="180" spans="1:6" x14ac:dyDescent="0.3">
      <c r="A180" t="s">
        <v>184</v>
      </c>
      <c r="B180" s="5">
        <v>5.7</v>
      </c>
      <c r="C180" s="5">
        <v>5.6</v>
      </c>
      <c r="D180" s="6">
        <v>0.71799999999999997</v>
      </c>
      <c r="E180">
        <v>91</v>
      </c>
      <c r="F180" s="5">
        <v>35</v>
      </c>
    </row>
    <row r="181" spans="1:6" x14ac:dyDescent="0.3">
      <c r="A181" t="s">
        <v>185</v>
      </c>
      <c r="B181" s="5">
        <v>6.1</v>
      </c>
      <c r="C181" s="5">
        <v>8.1999999999999993</v>
      </c>
      <c r="D181" s="6">
        <v>0.86599999999999999</v>
      </c>
      <c r="E181">
        <v>52</v>
      </c>
      <c r="F181" s="5">
        <v>31.4</v>
      </c>
    </row>
    <row r="182" spans="1:6" x14ac:dyDescent="0.3">
      <c r="A182" t="s">
        <v>186</v>
      </c>
      <c r="B182" s="5">
        <v>9</v>
      </c>
      <c r="C182" s="5">
        <v>7.6</v>
      </c>
      <c r="D182" s="6">
        <v>0.63400000000000001</v>
      </c>
      <c r="E182">
        <v>67</v>
      </c>
      <c r="F182" s="5">
        <v>38.4</v>
      </c>
    </row>
    <row r="183" spans="1:6" x14ac:dyDescent="0.3">
      <c r="A183" t="s">
        <v>187</v>
      </c>
      <c r="B183" s="5">
        <v>8.4</v>
      </c>
      <c r="C183" s="5">
        <v>5.5</v>
      </c>
      <c r="D183" s="6">
        <v>0.92599999999999993</v>
      </c>
      <c r="E183">
        <v>47</v>
      </c>
      <c r="F183" s="5">
        <v>36.1</v>
      </c>
    </row>
    <row r="184" spans="1:6" x14ac:dyDescent="0.3">
      <c r="A184" t="s">
        <v>188</v>
      </c>
      <c r="B184" s="5">
        <v>11.8</v>
      </c>
      <c r="C184" s="5">
        <v>5.5</v>
      </c>
      <c r="D184" s="6">
        <v>0.91500000000000004</v>
      </c>
      <c r="E184">
        <v>74</v>
      </c>
      <c r="F184" s="5">
        <v>44.1</v>
      </c>
    </row>
    <row r="185" spans="1:6" x14ac:dyDescent="0.3">
      <c r="A185" t="s">
        <v>189</v>
      </c>
      <c r="B185" s="5">
        <v>2.1</v>
      </c>
      <c r="C185" s="5">
        <v>6</v>
      </c>
      <c r="D185" s="6">
        <v>0.54299999999999993</v>
      </c>
      <c r="E185">
        <v>54</v>
      </c>
      <c r="F185" s="5">
        <v>19.399999999999999</v>
      </c>
    </row>
    <row r="186" spans="1:6" x14ac:dyDescent="0.3">
      <c r="A186" t="s">
        <v>190</v>
      </c>
      <c r="B186" s="5">
        <v>5.4</v>
      </c>
      <c r="C186" s="5">
        <v>6</v>
      </c>
      <c r="D186" s="6">
        <v>0.94099999999999995</v>
      </c>
      <c r="E186">
        <v>81</v>
      </c>
      <c r="F186" s="5">
        <v>39.4</v>
      </c>
    </row>
    <row r="187" spans="1:6" x14ac:dyDescent="0.3">
      <c r="A187" t="s">
        <v>191</v>
      </c>
      <c r="B187" s="5">
        <v>4.7</v>
      </c>
      <c r="C187" s="5">
        <v>5.5</v>
      </c>
      <c r="D187" s="6">
        <v>0.622</v>
      </c>
      <c r="E187">
        <v>49</v>
      </c>
      <c r="F187" s="5">
        <v>22.9</v>
      </c>
    </row>
    <row r="188" spans="1:6" x14ac:dyDescent="0.3">
      <c r="A188" t="s">
        <v>192</v>
      </c>
      <c r="B188" s="5">
        <v>10.5</v>
      </c>
      <c r="C188" s="5">
        <v>4.5999999999999996</v>
      </c>
      <c r="D188" s="6">
        <v>0.73199999999999998</v>
      </c>
      <c r="E188">
        <v>57</v>
      </c>
      <c r="F188" s="5">
        <v>36.200000000000003</v>
      </c>
    </row>
    <row r="189" spans="1:6" x14ac:dyDescent="0.3">
      <c r="A189" t="s">
        <v>193</v>
      </c>
      <c r="B189" s="5">
        <v>3.7</v>
      </c>
      <c r="C189" s="5">
        <v>6.1</v>
      </c>
      <c r="D189" s="6">
        <v>0.80500000000000005</v>
      </c>
      <c r="E189">
        <v>92</v>
      </c>
      <c r="F189" s="5">
        <v>33.4</v>
      </c>
    </row>
    <row r="190" spans="1:6" x14ac:dyDescent="0.3">
      <c r="A190" t="s">
        <v>194</v>
      </c>
      <c r="B190" s="5">
        <v>3.1</v>
      </c>
      <c r="C190" s="5">
        <v>8.6999999999999993</v>
      </c>
      <c r="D190" s="6">
        <v>0.68900000000000006</v>
      </c>
      <c r="E190">
        <v>49</v>
      </c>
      <c r="F190" s="5">
        <v>23.4</v>
      </c>
    </row>
    <row r="191" spans="1:6" x14ac:dyDescent="0.3">
      <c r="A191" t="s">
        <v>195</v>
      </c>
      <c r="B191" s="5">
        <v>5.9</v>
      </c>
      <c r="C191" s="5">
        <v>7.4</v>
      </c>
      <c r="D191" s="6">
        <v>0.51400000000000001</v>
      </c>
      <c r="E191">
        <v>44</v>
      </c>
      <c r="F191" s="5">
        <v>28</v>
      </c>
    </row>
    <row r="192" spans="1:6" x14ac:dyDescent="0.3">
      <c r="A192" t="s">
        <v>196</v>
      </c>
      <c r="B192" s="5">
        <v>5.6</v>
      </c>
      <c r="C192" s="5">
        <v>8.5</v>
      </c>
      <c r="D192" s="6">
        <v>0.92500000000000004</v>
      </c>
      <c r="E192">
        <v>43</v>
      </c>
      <c r="F192" s="5">
        <v>32.200000000000003</v>
      </c>
    </row>
    <row r="193" spans="1:6" x14ac:dyDescent="0.3">
      <c r="A193" t="s">
        <v>197</v>
      </c>
      <c r="B193" s="5">
        <v>4.0999999999999996</v>
      </c>
      <c r="C193" s="5">
        <v>7.1</v>
      </c>
      <c r="D193" s="6">
        <v>0.59099999999999997</v>
      </c>
      <c r="E193">
        <v>50</v>
      </c>
      <c r="F193" s="5">
        <v>30.7</v>
      </c>
    </row>
    <row r="194" spans="1:6" x14ac:dyDescent="0.3">
      <c r="A194" t="s">
        <v>198</v>
      </c>
      <c r="B194" s="5">
        <v>3.7</v>
      </c>
      <c r="C194" s="5">
        <v>5.5</v>
      </c>
      <c r="D194" s="6">
        <v>0.60599999999999998</v>
      </c>
      <c r="E194">
        <v>90</v>
      </c>
      <c r="F194" s="5">
        <v>28.8</v>
      </c>
    </row>
    <row r="195" spans="1:6" x14ac:dyDescent="0.3">
      <c r="A195" t="s">
        <v>199</v>
      </c>
      <c r="B195" s="5">
        <v>11.2</v>
      </c>
      <c r="C195" s="5">
        <v>6.7</v>
      </c>
      <c r="D195" s="6">
        <v>0.89900000000000002</v>
      </c>
      <c r="E195">
        <v>59</v>
      </c>
      <c r="F195" s="5">
        <v>46.7</v>
      </c>
    </row>
    <row r="196" spans="1:6" x14ac:dyDescent="0.3">
      <c r="A196" t="s">
        <v>200</v>
      </c>
      <c r="B196" s="5">
        <v>5.9</v>
      </c>
      <c r="C196" s="5">
        <v>4</v>
      </c>
      <c r="D196" s="6">
        <v>0.67</v>
      </c>
      <c r="E196">
        <v>78</v>
      </c>
      <c r="F196" s="5">
        <v>33.799999999999997</v>
      </c>
    </row>
    <row r="197" spans="1:6" x14ac:dyDescent="0.3">
      <c r="A197" t="s">
        <v>201</v>
      </c>
      <c r="B197" s="5">
        <v>10.5</v>
      </c>
      <c r="C197" s="5">
        <v>5.4</v>
      </c>
      <c r="D197" s="6">
        <v>0.94</v>
      </c>
      <c r="E197">
        <v>87</v>
      </c>
      <c r="F197" s="5">
        <v>42.7</v>
      </c>
    </row>
    <row r="198" spans="1:6" x14ac:dyDescent="0.3">
      <c r="A198" t="s">
        <v>202</v>
      </c>
      <c r="B198" s="5">
        <v>7.1</v>
      </c>
      <c r="C198" s="5">
        <v>6.1</v>
      </c>
      <c r="D198" s="6">
        <v>0.85099999999999998</v>
      </c>
      <c r="E198">
        <v>92</v>
      </c>
      <c r="F198" s="5">
        <v>40.4</v>
      </c>
    </row>
    <row r="199" spans="1:6" x14ac:dyDescent="0.3">
      <c r="A199" t="s">
        <v>203</v>
      </c>
      <c r="B199" s="5">
        <v>1.6</v>
      </c>
      <c r="C199" s="5">
        <v>6.9</v>
      </c>
      <c r="D199" s="6">
        <v>0.63800000000000001</v>
      </c>
      <c r="E199">
        <v>76</v>
      </c>
      <c r="F199" s="5">
        <v>28.2</v>
      </c>
    </row>
    <row r="200" spans="1:6" x14ac:dyDescent="0.3">
      <c r="A200" t="s">
        <v>204</v>
      </c>
      <c r="B200" s="5">
        <v>12</v>
      </c>
      <c r="C200" s="5">
        <v>7.3</v>
      </c>
      <c r="D200" s="6">
        <v>0.505</v>
      </c>
      <c r="E200">
        <v>58</v>
      </c>
      <c r="F200" s="5">
        <v>42</v>
      </c>
    </row>
    <row r="201" spans="1:6" x14ac:dyDescent="0.3">
      <c r="A201" t="s">
        <v>205</v>
      </c>
      <c r="B201" s="5">
        <v>10.199999999999999</v>
      </c>
      <c r="C201" s="5">
        <v>6.3</v>
      </c>
      <c r="D201" s="6">
        <v>0.97400000000000009</v>
      </c>
      <c r="E201">
        <v>68</v>
      </c>
      <c r="F201" s="5">
        <v>37.799999999999997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D5888-6FF1-47D3-AA43-B1C46CAC7078}">
  <dimension ref="B2:C8"/>
  <sheetViews>
    <sheetView workbookViewId="0">
      <selection activeCell="C14" sqref="C14"/>
    </sheetView>
  </sheetViews>
  <sheetFormatPr defaultRowHeight="14.4" x14ac:dyDescent="0.3"/>
  <cols>
    <col min="2" max="2" width="17.6640625" bestFit="1" customWidth="1"/>
    <col min="3" max="3" width="47.6640625" bestFit="1" customWidth="1"/>
  </cols>
  <sheetData>
    <row r="2" spans="2:3" x14ac:dyDescent="0.3">
      <c r="B2" t="s">
        <v>214</v>
      </c>
      <c r="C2" t="s">
        <v>215</v>
      </c>
    </row>
    <row r="3" spans="2:3" x14ac:dyDescent="0.3">
      <c r="B3" t="s">
        <v>0</v>
      </c>
      <c r="C3" t="s">
        <v>216</v>
      </c>
    </row>
    <row r="4" spans="2:3" x14ac:dyDescent="0.3">
      <c r="B4" t="s">
        <v>1</v>
      </c>
      <c r="C4" t="s">
        <v>270</v>
      </c>
    </row>
    <row r="5" spans="2:3" x14ac:dyDescent="0.3">
      <c r="B5" t="s">
        <v>2</v>
      </c>
      <c r="C5" t="s">
        <v>217</v>
      </c>
    </row>
    <row r="6" spans="2:3" x14ac:dyDescent="0.3">
      <c r="B6" t="s">
        <v>3</v>
      </c>
      <c r="C6" t="s">
        <v>218</v>
      </c>
    </row>
    <row r="7" spans="2:3" x14ac:dyDescent="0.3">
      <c r="B7" t="s">
        <v>4</v>
      </c>
      <c r="C7" t="s">
        <v>219</v>
      </c>
    </row>
    <row r="8" spans="2:3" x14ac:dyDescent="0.3">
      <c r="B8" t="s">
        <v>5</v>
      </c>
      <c r="C8" t="s">
        <v>220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Analise exploratória </vt:lpstr>
      <vt:lpstr>Analise correlacionada</vt:lpstr>
      <vt:lpstr>HrEstudadaXNotaProva</vt:lpstr>
      <vt:lpstr>student_exam_scores</vt:lpstr>
      <vt:lpstr>Inf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Walter</dc:creator>
  <cp:lastModifiedBy>Roger Walter</cp:lastModifiedBy>
  <dcterms:created xsi:type="dcterms:W3CDTF">2025-09-27T15:10:25Z</dcterms:created>
  <dcterms:modified xsi:type="dcterms:W3CDTF">2025-10-04T18:26:39Z</dcterms:modified>
</cp:coreProperties>
</file>